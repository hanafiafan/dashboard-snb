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JUALAN HARIAN-ANTRASIDA" sheetId="1" r:id="rId5"/>
    <sheet state="visible" name="HPP-ANTRASIDA" sheetId="2" r:id="rId6"/>
    <sheet state="visible" name="ANTRASIDA-ARUS KAS" sheetId="3" r:id="rId7"/>
    <sheet state="visible" name="ANTRASIDA-LABA-RUGI" sheetId="4" r:id="rId8"/>
    <sheet state="visible" name="ANTRASIDA-PENDAPATAN" sheetId="5" r:id="rId9"/>
    <sheet state="visible" name="ANTRASIDA-ARUS BARANG" sheetId="6" r:id="rId10"/>
    <sheet state="visible" name="ANTRASIDA-CASH FLOW" sheetId="7" r:id="rId11"/>
    <sheet state="visible" name="ANTRASIDA-PENGELUARAN" sheetId="8" r:id="rId12"/>
    <sheet state="visible" name="ANTRASIDA-PIUTANG" sheetId="9" r:id="rId13"/>
    <sheet state="visible" name="PENJUALAN HARIAN- AGRODELT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biiasanya:
- Direct (Langusng)
- Shopee
- Tokopedia
- OVO
- </t>
      </text>
    </comment>
    <comment authorId="0" ref="D2">
      <text>
        <t xml:space="preserve">Cash, BCA, Jenius, OVO, Shopeepay, GOPAY</t>
      </text>
    </comment>
    <comment authorId="0" ref="E3">
      <text>
        <t xml:space="preserve">pemasukan, uang yang masuk</t>
      </text>
    </comment>
    <comment authorId="0" ref="F3">
      <text>
        <t xml:space="preserve">uang yang keluar, menjadi pengeluaran</t>
      </text>
    </comment>
    <comment authorId="0" ref="A2">
      <text>
        <t xml:space="preserve">tanggal isi sesuai kebutuhan, kalau kurang baris, bisa insert Row sendiri.
Akan berwarna hijau (otomatis) untuk 7 hari terakhir</t>
      </text>
    </comment>
  </commentList>
</comments>
</file>

<file path=xl/sharedStrings.xml><?xml version="1.0" encoding="utf-8"?>
<sst xmlns="http://schemas.openxmlformats.org/spreadsheetml/2006/main" count="245" uniqueCount="152">
  <si>
    <t>REALISASI CAPAIAN JULI 2026</t>
  </si>
  <si>
    <t>FORECAST ANTRASIDA</t>
  </si>
  <si>
    <t>SKU</t>
  </si>
  <si>
    <t>x</t>
  </si>
  <si>
    <t>Nama Barang</t>
  </si>
  <si>
    <t>ID produk</t>
  </si>
  <si>
    <t>Ukuran</t>
  </si>
  <si>
    <t>Harga Baru</t>
  </si>
  <si>
    <t>Deskripsi</t>
  </si>
  <si>
    <t>Channel</t>
  </si>
  <si>
    <t>HPP Bahan Baku</t>
  </si>
  <si>
    <t>Akun</t>
  </si>
  <si>
    <t>25 MEI - 25 JUN</t>
  </si>
  <si>
    <t>ATR-FNG-BAK1</t>
  </si>
  <si>
    <t>Jumlah</t>
  </si>
  <si>
    <t>Busuk Akar</t>
  </si>
  <si>
    <t>TGL</t>
  </si>
  <si>
    <t>OMSET MARKETING</t>
  </si>
  <si>
    <t>1 liter</t>
  </si>
  <si>
    <t>OMSET FINANCE</t>
  </si>
  <si>
    <t>PESANAN VALID</t>
  </si>
  <si>
    <t>Target</t>
  </si>
  <si>
    <t>%</t>
  </si>
  <si>
    <t>Kas Saat Ini</t>
  </si>
  <si>
    <t>BIAYA ADMIN</t>
  </si>
  <si>
    <t>Realisasi</t>
  </si>
  <si>
    <t>ATR-FNG-BBH1</t>
  </si>
  <si>
    <t>BIAYA PEMPROSESAN</t>
  </si>
  <si>
    <t>Busuk Buah</t>
  </si>
  <si>
    <t>BIAYA PROMOSI</t>
  </si>
  <si>
    <t>ADS SPEND</t>
  </si>
  <si>
    <t>Bukti Transaksi</t>
  </si>
  <si>
    <t>BIAYA ONGKIR</t>
  </si>
  <si>
    <t>ATR-INS-PYM500</t>
  </si>
  <si>
    <t>pembasmi Nyamuk tanam</t>
  </si>
  <si>
    <t>BIAYA AFFILIASI</t>
  </si>
  <si>
    <t>BIAYA BAHAN BAKU</t>
  </si>
  <si>
    <t>500 ml</t>
  </si>
  <si>
    <t>Total Beban</t>
  </si>
  <si>
    <t>ATR-INS-ASM500</t>
  </si>
  <si>
    <t>MARGIN KOTOR</t>
  </si>
  <si>
    <t>anti Semut</t>
  </si>
  <si>
    <t>tanggal - bulan</t>
  </si>
  <si>
    <t>MARGIN KOTOR %</t>
  </si>
  <si>
    <t>ROI</t>
  </si>
  <si>
    <t>ATR-INS-AUL500</t>
  </si>
  <si>
    <t>deskriptif, isinya boleh diisi keterangan apa saja</t>
  </si>
  <si>
    <t>anti Ulat</t>
  </si>
  <si>
    <t>belanja nya di platform apa/sumber dana</t>
  </si>
  <si>
    <t>ATR-INS-AKT500</t>
  </si>
  <si>
    <t>anti Kutu</t>
  </si>
  <si>
    <t>bayarnya lewat akun mana/ke akun bank</t>
  </si>
  <si>
    <t>nominal arus uang</t>
  </si>
  <si>
    <t>ATR-INS-AWR500</t>
  </si>
  <si>
    <t>anti Wereng</t>
  </si>
  <si>
    <t>ATR-INS-PBL500</t>
  </si>
  <si>
    <t>pembasmi belalang</t>
  </si>
  <si>
    <t>FIX COST</t>
  </si>
  <si>
    <t>ATR-FNG-ETP500</t>
  </si>
  <si>
    <t>Embun Tepung</t>
  </si>
  <si>
    <t>Gaji</t>
  </si>
  <si>
    <t>ATR-FNG-BAK500</t>
  </si>
  <si>
    <t>ATR-FNG-BBH500</t>
  </si>
  <si>
    <t>Pemasukan</t>
  </si>
  <si>
    <t>ATR-FNG-JPT500</t>
  </si>
  <si>
    <t>VARIABEL COST</t>
  </si>
  <si>
    <t xml:space="preserve">Jamur Pantogen </t>
  </si>
  <si>
    <t>Pengeluaran</t>
  </si>
  <si>
    <t>2.58</t>
  </si>
  <si>
    <t>ATR-FNG-JSP500</t>
  </si>
  <si>
    <t>Jamur spora</t>
  </si>
  <si>
    <t>Hpp</t>
  </si>
  <si>
    <t>tarik dana antrasida</t>
  </si>
  <si>
    <t>ATR-INS-CCG500</t>
  </si>
  <si>
    <t>Cacing</t>
  </si>
  <si>
    <t>ATR-INS-ULT500</t>
  </si>
  <si>
    <t>Biaya Amp</t>
  </si>
  <si>
    <t>Ulat Tanah/Uret</t>
  </si>
  <si>
    <t>ATR-INS-PRS500</t>
  </si>
  <si>
    <t>Parasit</t>
  </si>
  <si>
    <t>Top up antrasida</t>
  </si>
  <si>
    <t>Beban ongkir</t>
  </si>
  <si>
    <t>ATR-INS-PTK500</t>
  </si>
  <si>
    <t>Patek</t>
  </si>
  <si>
    <t>3.07</t>
  </si>
  <si>
    <t>ATR-INS-SP500</t>
  </si>
  <si>
    <t>Biaya pemprosesan</t>
  </si>
  <si>
    <t>Siput</t>
  </si>
  <si>
    <t xml:space="preserve">tarik dana antrasida </t>
  </si>
  <si>
    <t>Biaya ads</t>
  </si>
  <si>
    <t>top up antrasida</t>
  </si>
  <si>
    <t>hutang dari agro</t>
  </si>
  <si>
    <t>2.98</t>
  </si>
  <si>
    <t>top up nuexagro</t>
  </si>
  <si>
    <t>hutang dari antrasida</t>
  </si>
  <si>
    <t xml:space="preserve">Biaya sample </t>
  </si>
  <si>
    <t>Top up nusatani</t>
  </si>
  <si>
    <t>Biaya aff</t>
  </si>
  <si>
    <t>2.63</t>
  </si>
  <si>
    <t>Tarik dana antrasida</t>
  </si>
  <si>
    <t>subsidi ads</t>
  </si>
  <si>
    <t>Bayar hutang agrodelta</t>
  </si>
  <si>
    <t>dana dari antrasida</t>
  </si>
  <si>
    <t>TOTAL COST</t>
  </si>
  <si>
    <t>3.14</t>
  </si>
  <si>
    <t>Bayar ongkir manual jnt</t>
  </si>
  <si>
    <t>dana antrasida</t>
  </si>
  <si>
    <t>top up antrasida 2</t>
  </si>
  <si>
    <t xml:space="preserve">dana dari sakatani </t>
  </si>
  <si>
    <t>NPM</t>
  </si>
  <si>
    <t>Tanggal</t>
  </si>
  <si>
    <t>Nominal penarikan</t>
  </si>
  <si>
    <t>3.34</t>
  </si>
  <si>
    <t>Bayar servis labtop</t>
  </si>
  <si>
    <t>jasa affiliate KOL</t>
  </si>
  <si>
    <t>top up agrodelta</t>
  </si>
  <si>
    <t>tarik dana antrsida</t>
  </si>
  <si>
    <t>3.08</t>
  </si>
  <si>
    <t>2.89</t>
  </si>
  <si>
    <t>pengeluaran</t>
  </si>
  <si>
    <t>bayar sample manual jnt</t>
  </si>
  <si>
    <t>3.38</t>
  </si>
  <si>
    <t>top up pah rempah tt</t>
  </si>
  <si>
    <t>reumberse top up nexagro tanggal 8</t>
  </si>
  <si>
    <t>reumberse bayar sample mbak diah</t>
  </si>
  <si>
    <t>top up bumi loka</t>
  </si>
  <si>
    <t>3.68</t>
  </si>
  <si>
    <t>sisa : 5.213.500</t>
  </si>
  <si>
    <t>masuk kas bca</t>
  </si>
  <si>
    <t xml:space="preserve">top up antrasida </t>
  </si>
  <si>
    <t>sisa : 581.646</t>
  </si>
  <si>
    <t>3.54</t>
  </si>
  <si>
    <t>4.36</t>
  </si>
  <si>
    <t>top up sakatani</t>
  </si>
  <si>
    <t>reumberse kartu indosat homiclean</t>
  </si>
  <si>
    <t>4.53</t>
  </si>
  <si>
    <t>sisa : 2.717.398</t>
  </si>
  <si>
    <t xml:space="preserve">Tarik dana antrasida </t>
  </si>
  <si>
    <t>kategori</t>
  </si>
  <si>
    <t>periode</t>
  </si>
  <si>
    <t>perkiraan</t>
  </si>
  <si>
    <t>realisasi</t>
  </si>
  <si>
    <t>Pembelian Bahan Baku</t>
  </si>
  <si>
    <t>Reumberse campaign aff loyal</t>
  </si>
  <si>
    <t>Bulan ini</t>
  </si>
  <si>
    <t>Gaji &amp; Upah</t>
  </si>
  <si>
    <t>Operasional Gudang</t>
  </si>
  <si>
    <t>Packaging</t>
  </si>
  <si>
    <t>sisa : 4.499.367</t>
  </si>
  <si>
    <t>nominal</t>
  </si>
  <si>
    <t>sumber dana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</si>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</sst>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p]#,##0"/>
    <numFmt numFmtId="165" formatCode="_-[$Rp-421]* #,##0_-;_-[$Rp-421]* \-#,##0_-;_-[$Rp-421]* &quot;-&quot;??_-;_-@"/>
    <numFmt numFmtId="166" formatCode="dd/MM/yyyy"/>
    <numFmt numFmtId="167" formatCode="d mmmm"/>
    <numFmt numFmtId="168" formatCode="&quot;Rp&quot;#,##0"/>
    <numFmt numFmtId="169" formatCode="mmmm yyyy"/>
  </numFmts>
  <fonts count="13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</font>
    <font>
      <color theme="1"/>
      <name val="Arial"/>
      <scheme val="minor"/>
    </font>
    <font>
      <b/>
      <sz val="9.0"/>
      <color theme="1"/>
      <name val="Nunito"/>
    </font>
    <font>
      <b/>
      <color theme="1"/>
      <name val="Arial"/>
    </font>
    <font>
      <color theme="1"/>
      <name val="Arial"/>
    </font>
    <font/>
    <font>
      <b/>
      <i/>
      <sz val="8.0"/>
      <color theme="1"/>
      <name val="Nunito"/>
    </font>
    <font>
      <b/>
      <i/>
      <sz val="12.0"/>
      <color theme="1"/>
      <name val="Nunito"/>
    </font>
    <font>
      <b/>
      <sz val="8.0"/>
      <color theme="1"/>
      <name val="Nunito"/>
    </font>
    <font>
      <color rgb="FF000000"/>
      <name val="Arial"/>
    </font>
    <font>
      <b/>
      <color rgb="FF000000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741B47"/>
        <bgColor rgb="FF741B47"/>
      </patternFill>
    </fill>
    <fill>
      <patternFill patternType="solid">
        <fgColor rgb="FFFFD966"/>
        <bgColor rgb="FFFFD966"/>
      </patternFill>
    </fill>
    <fill>
      <patternFill patternType="solid">
        <fgColor rgb="FFA64D79"/>
        <bgColor rgb="FFA64D79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EEF7E3"/>
        <bgColor rgb="FFEEF7E3"/>
      </patternFill>
    </fill>
    <fill>
      <patternFill patternType="solid">
        <fgColor rgb="FFFFE6DD"/>
        <bgColor rgb="FFFFE6DD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4285F4"/>
        <bgColor rgb="FF4285F4"/>
      </patternFill>
    </fill>
    <fill>
      <patternFill patternType="solid">
        <fgColor rgb="FFF3E0C7"/>
        <bgColor rgb="FFF3E0C7"/>
      </patternFill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999999"/>
      </left>
      <right style="hair">
        <color rgb="FF999999"/>
      </right>
      <bottom style="hair">
        <color rgb="FF999999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3" fontId="2" numFmtId="0" xfId="0" applyAlignment="1" applyBorder="1" applyFill="1" applyFont="1">
      <alignment vertical="bottom"/>
    </xf>
    <xf borderId="0" fillId="0" fontId="3" numFmtId="9" xfId="0" applyAlignment="1" applyFont="1" applyNumberFormat="1">
      <alignment horizontal="center" readingOrder="0"/>
    </xf>
    <xf borderId="2" fillId="4" fontId="4" numFmtId="0" xfId="0" applyAlignment="1" applyBorder="1" applyFill="1" applyFont="1">
      <alignment horizontal="center" vertical="bottom"/>
    </xf>
    <xf borderId="0" fillId="0" fontId="3" numFmtId="164" xfId="0" applyAlignment="1" applyFont="1" applyNumberFormat="1">
      <alignment horizontal="center" readingOrder="0"/>
    </xf>
    <xf borderId="1" fillId="3" fontId="2" numFmtId="0" xfId="0" applyAlignment="1" applyBorder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10" xfId="0" applyAlignment="1" applyFont="1" applyNumberFormat="1">
      <alignment horizontal="center" readingOrder="0"/>
    </xf>
    <xf borderId="1" fillId="3" fontId="2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  <xf borderId="1" fillId="5" fontId="2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  <xf borderId="1" fillId="2" fontId="1" numFmtId="0" xfId="0" applyAlignment="1" applyBorder="1" applyFont="1">
      <alignment horizontal="center" readingOrder="0"/>
    </xf>
    <xf borderId="1" fillId="5" fontId="6" numFmtId="164" xfId="0" applyAlignment="1" applyBorder="1" applyFont="1" applyNumberFormat="1">
      <alignment vertical="bottom"/>
    </xf>
    <xf borderId="3" fillId="4" fontId="4" numFmtId="165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vertical="bottom"/>
    </xf>
    <xf borderId="0" fillId="2" fontId="6" numFmtId="0" xfId="0" applyAlignment="1" applyFont="1">
      <alignment vertical="bottom"/>
    </xf>
    <xf borderId="4" fillId="0" fontId="7" numFmtId="0" xfId="0" applyBorder="1" applyFont="1"/>
    <xf borderId="1" fillId="5" fontId="2" numFmtId="164" xfId="0" applyAlignment="1" applyBorder="1" applyFont="1" applyNumberFormat="1">
      <alignment horizontal="right" vertical="bottom"/>
    </xf>
    <xf borderId="2" fillId="4" fontId="4" numFmtId="165" xfId="0" applyAlignment="1" applyBorder="1" applyFont="1" applyNumberFormat="1">
      <alignment horizontal="center" vertical="bottom"/>
    </xf>
    <xf borderId="2" fillId="4" fontId="6" numFmtId="165" xfId="0" applyAlignment="1" applyBorder="1" applyFont="1" applyNumberFormat="1">
      <alignment vertical="bottom"/>
    </xf>
    <xf borderId="1" fillId="0" fontId="6" numFmtId="0" xfId="0" applyAlignment="1" applyBorder="1" applyFont="1">
      <alignment vertical="bottom"/>
    </xf>
    <xf borderId="1" fillId="0" fontId="6" numFmtId="164" xfId="0" applyAlignment="1" applyBorder="1" applyFont="1" applyNumberFormat="1">
      <alignment horizontal="right" vertical="bottom"/>
    </xf>
    <xf borderId="1" fillId="0" fontId="6" numFmtId="10" xfId="0" applyAlignment="1" applyBorder="1" applyFont="1" applyNumberFormat="1">
      <alignment horizontal="right" vertical="bottom"/>
    </xf>
    <xf borderId="5" fillId="6" fontId="8" numFmtId="166" xfId="0" applyAlignment="1" applyBorder="1" applyFill="1" applyFont="1" applyNumberFormat="1">
      <alignment horizontal="center" shrinkToFit="0" wrapText="1"/>
    </xf>
    <xf borderId="1" fillId="0" fontId="3" numFmtId="0" xfId="0" applyAlignment="1" applyBorder="1" applyFont="1">
      <alignment horizontal="center" readingOrder="0"/>
    </xf>
    <xf borderId="5" fillId="6" fontId="8" numFmtId="0" xfId="0" applyAlignment="1" applyBorder="1" applyFont="1">
      <alignment horizontal="center" shrinkToFit="0" wrapText="1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3" fillId="6" fontId="8" numFmtId="165" xfId="0" applyAlignment="1" applyBorder="1" applyFont="1" applyNumberFormat="1">
      <alignment horizontal="center" shrinkToFit="0" wrapText="1"/>
    </xf>
    <xf borderId="1" fillId="0" fontId="3" numFmtId="164" xfId="0" applyBorder="1" applyFont="1" applyNumberFormat="1"/>
    <xf borderId="1" fillId="7" fontId="5" numFmtId="0" xfId="0" applyAlignment="1" applyBorder="1" applyFill="1" applyFont="1">
      <alignment vertical="bottom"/>
    </xf>
    <xf borderId="1" fillId="7" fontId="6" numFmtId="164" xfId="0" applyAlignment="1" applyBorder="1" applyFont="1" applyNumberFormat="1">
      <alignment vertical="bottom"/>
    </xf>
    <xf borderId="5" fillId="6" fontId="9" numFmtId="165" xfId="0" applyAlignment="1" applyBorder="1" applyFont="1" applyNumberFormat="1">
      <alignment horizontal="center" shrinkToFit="0" wrapText="1"/>
    </xf>
    <xf borderId="1" fillId="7" fontId="6" numFmtId="10" xfId="0" applyAlignment="1" applyBorder="1" applyFont="1" applyNumberFormat="1">
      <alignment vertical="bottom"/>
    </xf>
    <xf borderId="2" fillId="6" fontId="6" numFmtId="165" xfId="0" applyBorder="1" applyFont="1" applyNumberFormat="1"/>
    <xf borderId="1" fillId="7" fontId="6" numFmtId="0" xfId="0" applyAlignment="1" applyBorder="1" applyFont="1">
      <alignment vertical="bottom"/>
    </xf>
    <xf borderId="5" fillId="6" fontId="6" numFmtId="0" xfId="0" applyAlignment="1" applyBorder="1" applyFont="1">
      <alignment vertical="bottom"/>
    </xf>
    <xf borderId="5" fillId="6" fontId="6" numFmtId="0" xfId="0" applyAlignment="1" applyBorder="1" applyFont="1">
      <alignment horizontal="center"/>
    </xf>
    <xf borderId="6" fillId="0" fontId="7" numFmtId="0" xfId="0" applyBorder="1" applyFont="1"/>
    <xf borderId="5" fillId="8" fontId="10" numFmtId="165" xfId="0" applyAlignment="1" applyBorder="1" applyFill="1" applyFont="1" applyNumberFormat="1">
      <alignment horizontal="center"/>
    </xf>
    <xf borderId="1" fillId="0" fontId="3" numFmtId="10" xfId="0" applyBorder="1" applyFont="1" applyNumberFormat="1"/>
    <xf borderId="5" fillId="9" fontId="10" numFmtId="165" xfId="0" applyAlignment="1" applyBorder="1" applyFill="1" applyFont="1" applyNumberFormat="1">
      <alignment horizontal="center"/>
    </xf>
    <xf borderId="1" fillId="0" fontId="3" numFmtId="49" xfId="0" applyAlignment="1" applyBorder="1" applyFont="1" applyNumberFormat="1">
      <alignment horizontal="right" readingOrder="0"/>
    </xf>
    <xf borderId="5" fillId="6" fontId="6" numFmtId="165" xfId="0" applyBorder="1" applyFont="1" applyNumberFormat="1"/>
    <xf borderId="1" fillId="0" fontId="6" numFmtId="167" xfId="0" applyAlignment="1" applyBorder="1" applyFont="1" applyNumberFormat="1">
      <alignment horizontal="right" vertical="bottom"/>
    </xf>
    <xf borderId="1" fillId="0" fontId="6" numFmtId="3" xfId="0" applyAlignment="1" applyBorder="1" applyFont="1" applyNumberFormat="1">
      <alignment horizontal="right" vertical="bottom"/>
    </xf>
    <xf borderId="1" fillId="0" fontId="6" numFmtId="3" xfId="0" applyAlignment="1" applyBorder="1" applyFont="1" applyNumberFormat="1">
      <alignment vertical="bottom"/>
    </xf>
    <xf borderId="1" fillId="0" fontId="3" numFmtId="0" xfId="0" applyBorder="1" applyFont="1"/>
    <xf borderId="1" fillId="0" fontId="6" numFmtId="167" xfId="0" applyAlignment="1" applyBorder="1" applyFont="1" applyNumberFormat="1">
      <alignment vertical="bottom"/>
    </xf>
    <xf borderId="1" fillId="0" fontId="6" numFmtId="165" xfId="0" applyAlignment="1" applyBorder="1" applyFont="1" applyNumberFormat="1">
      <alignment vertical="bottom"/>
    </xf>
    <xf borderId="1" fillId="5" fontId="6" numFmtId="168" xfId="0" applyAlignment="1" applyBorder="1" applyFont="1" applyNumberFormat="1">
      <alignment vertical="bottom"/>
    </xf>
    <xf borderId="1" fillId="5" fontId="2" numFmtId="168" xfId="0" applyAlignment="1" applyBorder="1" applyFont="1" applyNumberFormat="1">
      <alignment vertical="bottom"/>
    </xf>
    <xf borderId="1" fillId="5" fontId="6" numFmtId="0" xfId="0" applyAlignment="1" applyBorder="1" applyFont="1">
      <alignment vertical="bottom"/>
    </xf>
    <xf borderId="0" fillId="0" fontId="6" numFmtId="164" xfId="0" applyAlignment="1" applyFont="1" applyNumberFormat="1">
      <alignment horizontal="center" vertical="bottom"/>
    </xf>
    <xf borderId="1" fillId="10" fontId="6" numFmtId="0" xfId="0" applyAlignment="1" applyBorder="1" applyFill="1" applyFont="1">
      <alignment vertical="bottom"/>
    </xf>
    <xf borderId="1" fillId="10" fontId="6" numFmtId="164" xfId="0" applyAlignment="1" applyBorder="1" applyFont="1" applyNumberFormat="1">
      <alignment horizontal="right" vertical="bottom"/>
    </xf>
    <xf borderId="1" fillId="6" fontId="5" numFmtId="0" xfId="0" applyAlignment="1" applyBorder="1" applyFont="1">
      <alignment vertical="bottom"/>
    </xf>
    <xf borderId="1" fillId="6" fontId="6" numFmtId="164" xfId="0" applyAlignment="1" applyBorder="1" applyFont="1" applyNumberFormat="1">
      <alignment horizontal="right" vertical="bottom"/>
    </xf>
    <xf borderId="1" fillId="6" fontId="6" numFmtId="10" xfId="0" applyAlignment="1" applyBorder="1" applyFont="1" applyNumberFormat="1">
      <alignment horizontal="right" vertical="bottom"/>
    </xf>
    <xf borderId="0" fillId="11" fontId="3" numFmtId="0" xfId="0" applyAlignment="1" applyFill="1" applyFon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0" fillId="0" fontId="3" numFmtId="164" xfId="0" applyFont="1" applyNumberFormat="1"/>
    <xf borderId="1" fillId="0" fontId="6" numFmtId="3" xfId="0" applyAlignment="1" applyBorder="1" applyFont="1" applyNumberFormat="1">
      <alignment readingOrder="0" vertical="bottom"/>
    </xf>
    <xf borderId="0" fillId="12" fontId="11" numFmtId="0" xfId="0" applyAlignment="1" applyFill="1" applyFont="1">
      <alignment horizontal="center" readingOrder="0" vertical="bottom"/>
    </xf>
    <xf borderId="0" fillId="10" fontId="11" numFmtId="167" xfId="0" applyAlignment="1" applyFont="1" applyNumberFormat="1">
      <alignment horizontal="center" readingOrder="0" vertical="bottom"/>
    </xf>
    <xf borderId="0" fillId="10" fontId="11" numFmtId="164" xfId="0" applyAlignment="1" applyFont="1" applyNumberFormat="1">
      <alignment horizontal="center" readingOrder="0" vertical="bottom"/>
    </xf>
    <xf borderId="0" fillId="10" fontId="2" numFmtId="0" xfId="0" applyAlignment="1" applyFont="1">
      <alignment horizontal="center" vertical="bottom"/>
    </xf>
    <xf borderId="0" fillId="10" fontId="2" numFmtId="0" xfId="0" applyAlignment="1" applyFont="1">
      <alignment vertical="bottom"/>
    </xf>
    <xf borderId="0" fillId="10" fontId="6" numFmtId="167" xfId="0" applyAlignment="1" applyFont="1" applyNumberFormat="1">
      <alignment horizontal="center" readingOrder="0" vertical="bottom"/>
    </xf>
    <xf borderId="0" fillId="10" fontId="6" numFmtId="164" xfId="0" applyAlignment="1" applyFont="1" applyNumberFormat="1">
      <alignment horizontal="center" readingOrder="0" vertical="bottom"/>
    </xf>
    <xf borderId="0" fillId="10" fontId="6" numFmtId="10" xfId="0" applyAlignment="1" applyFont="1" applyNumberFormat="1">
      <alignment horizontal="right" vertical="bottom"/>
    </xf>
    <xf borderId="0" fillId="10" fontId="6" numFmtId="164" xfId="0" applyAlignment="1" applyFont="1" applyNumberFormat="1">
      <alignment horizontal="right" vertical="bottom"/>
    </xf>
    <xf borderId="1" fillId="0" fontId="6" numFmtId="0" xfId="0" applyAlignment="1" applyBorder="1" applyFont="1">
      <alignment horizontal="right" vertical="bottom"/>
    </xf>
    <xf borderId="0" fillId="10" fontId="5" numFmtId="167" xfId="0" applyAlignment="1" applyFont="1" applyNumberFormat="1">
      <alignment horizontal="center" readingOrder="0" vertical="bottom"/>
    </xf>
    <xf borderId="0" fillId="10" fontId="6" numFmtId="10" xfId="0" applyAlignment="1" applyFont="1" applyNumberFormat="1">
      <alignment vertical="bottom"/>
    </xf>
    <xf borderId="0" fillId="10" fontId="6" numFmtId="164" xfId="0" applyAlignment="1" applyFont="1" applyNumberFormat="1">
      <alignment vertical="bottom"/>
    </xf>
    <xf borderId="0" fillId="10" fontId="6" numFmtId="0" xfId="0" applyAlignment="1" applyFont="1">
      <alignment vertical="bottom"/>
    </xf>
    <xf borderId="0" fillId="10" fontId="6" numFmtId="164" xfId="0" applyAlignment="1" applyFont="1" applyNumberFormat="1">
      <alignment horizontal="center" vertical="bottom"/>
    </xf>
    <xf borderId="0" fillId="10" fontId="5" numFmtId="0" xfId="0" applyAlignment="1" applyFont="1">
      <alignment vertical="bottom"/>
    </xf>
    <xf borderId="1" fillId="13" fontId="6" numFmtId="0" xfId="0" applyAlignment="1" applyBorder="1" applyFill="1" applyFont="1">
      <alignment vertical="bottom"/>
    </xf>
    <xf borderId="1" fillId="0" fontId="3" numFmtId="49" xfId="0" applyAlignment="1" applyBorder="1" applyFont="1" applyNumberFormat="1">
      <alignment horizontal="right"/>
    </xf>
    <xf borderId="0" fillId="14" fontId="5" numFmtId="0" xfId="0" applyAlignment="1" applyFill="1" applyFont="1">
      <alignment horizontal="center" vertical="bottom"/>
    </xf>
    <xf borderId="0" fillId="0" fontId="6" numFmtId="168" xfId="0" applyAlignment="1" applyFont="1" applyNumberFormat="1">
      <alignment horizontal="right" vertical="bottom"/>
    </xf>
    <xf borderId="0" fillId="12" fontId="3" numFmtId="0" xfId="0" applyAlignment="1" applyFont="1">
      <alignment horizontal="center" readingOrder="0"/>
    </xf>
    <xf borderId="0" fillId="2" fontId="1" numFmtId="169" xfId="0" applyAlignment="1" applyFont="1" applyNumberFormat="1">
      <alignment horizontal="left" readingOrder="0"/>
    </xf>
    <xf borderId="1" fillId="2" fontId="3" numFmtId="0" xfId="0" applyBorder="1" applyFont="1"/>
    <xf borderId="1" fillId="2" fontId="3" numFmtId="49" xfId="0" applyAlignment="1" applyBorder="1" applyFont="1" applyNumberFormat="1">
      <alignment horizontal="right"/>
    </xf>
    <xf borderId="1" fillId="15" fontId="12" numFmtId="0" xfId="0" applyAlignment="1" applyBorder="1" applyFill="1" applyFont="1">
      <alignment readingOrder="0"/>
    </xf>
    <xf borderId="1" fillId="15" fontId="3" numFmtId="164" xfId="0" applyBorder="1" applyFont="1" applyNumberFormat="1"/>
    <xf borderId="1" fillId="15" fontId="3" numFmtId="10" xfId="0" applyBorder="1" applyFont="1" applyNumberFormat="1"/>
    <xf borderId="1" fillId="15" fontId="3" numFmtId="164" xfId="0" applyAlignment="1" applyBorder="1" applyFont="1" applyNumberFormat="1">
      <alignment horizontal="right"/>
    </xf>
    <xf borderId="0" fillId="2" fontId="3" numFmtId="0" xfId="0" applyFont="1"/>
    <xf borderId="0" fillId="2" fontId="3" numFmtId="49" xfId="0" applyAlignment="1" applyFont="1" applyNumberFormat="1">
      <alignment horizontal="right"/>
    </xf>
    <xf borderId="0" fillId="0" fontId="3" numFmtId="49" xfId="0" applyAlignment="1" applyFont="1" applyNumberFormat="1">
      <alignment horizontal="right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25"/>
    <col customWidth="1" min="2" max="2" width="22.5"/>
    <col customWidth="1" min="3" max="3" width="16.0"/>
    <col customWidth="1" min="4" max="4" width="16.88"/>
    <col customWidth="1" min="6" max="6" width="23.75"/>
    <col customWidth="1" min="7" max="7" width="16.13"/>
    <col customWidth="1" min="8" max="8" width="13.0"/>
    <col customWidth="1" min="9" max="9" width="15.13"/>
    <col customWidth="1" min="10" max="10" width="16.13"/>
    <col customWidth="1" min="11" max="11" width="17.75"/>
    <col customWidth="1" min="12" max="12" width="14.88"/>
    <col customWidth="1" min="13" max="13" width="17.38"/>
    <col customWidth="1" min="14" max="14" width="16.75"/>
    <col customWidth="1" min="15" max="15" width="6.5"/>
  </cols>
  <sheetData>
    <row r="1">
      <c r="A1" s="1" t="s">
        <v>0</v>
      </c>
      <c r="E1" s="3">
        <v>0.16</v>
      </c>
      <c r="F1" s="5">
        <v>1250.0</v>
      </c>
      <c r="I1" s="8">
        <v>0.0899</v>
      </c>
      <c r="J1" s="3">
        <v>0.09</v>
      </c>
      <c r="K1" s="8">
        <v>0.1682</v>
      </c>
    </row>
    <row r="2">
      <c r="A2" s="13" t="s">
        <v>16</v>
      </c>
      <c r="B2" s="13" t="s">
        <v>17</v>
      </c>
      <c r="C2" s="13" t="s">
        <v>19</v>
      </c>
      <c r="D2" s="13" t="s">
        <v>20</v>
      </c>
      <c r="E2" s="13" t="s">
        <v>24</v>
      </c>
      <c r="F2" s="13" t="s">
        <v>27</v>
      </c>
      <c r="G2" s="13" t="s">
        <v>29</v>
      </c>
      <c r="H2" s="13" t="s">
        <v>30</v>
      </c>
      <c r="I2" s="13" t="s">
        <v>32</v>
      </c>
      <c r="J2" s="13" t="s">
        <v>35</v>
      </c>
      <c r="K2" s="13" t="s">
        <v>36</v>
      </c>
      <c r="L2" s="13" t="s">
        <v>38</v>
      </c>
      <c r="M2" s="13" t="s">
        <v>40</v>
      </c>
      <c r="N2" s="13" t="s">
        <v>43</v>
      </c>
      <c r="O2" s="13" t="s">
        <v>44</v>
      </c>
    </row>
    <row r="3">
      <c r="A3" s="26">
        <v>1.0</v>
      </c>
      <c r="B3" s="28">
        <v>5180985.0</v>
      </c>
      <c r="C3" s="28">
        <v>4572841.0</v>
      </c>
      <c r="D3" s="29">
        <v>67.0</v>
      </c>
      <c r="E3" s="31">
        <f t="shared" ref="E3:F3" si="1">C3*E1</f>
        <v>731654.56</v>
      </c>
      <c r="F3" s="31">
        <f t="shared" si="1"/>
        <v>83750</v>
      </c>
      <c r="G3" s="31"/>
      <c r="H3" s="28">
        <v>1981343.0</v>
      </c>
      <c r="I3" s="31">
        <f>C3*I1</f>
        <v>411098.4059</v>
      </c>
      <c r="J3" s="31">
        <f>C3*J1</f>
        <v>411555.69</v>
      </c>
      <c r="K3" s="31">
        <f>C3*K1</f>
        <v>769151.8562</v>
      </c>
      <c r="L3" s="31">
        <f t="shared" ref="L3:L15" si="3">E3+F3+H3+I3+J3+K3</f>
        <v>4388553.512</v>
      </c>
      <c r="M3" s="31">
        <f t="shared" ref="M3:M15" si="4">C3-L3</f>
        <v>184287.4879</v>
      </c>
      <c r="N3" s="42">
        <f t="shared" ref="N3:N15" si="5">M3/L3</f>
        <v>0.04199276308</v>
      </c>
      <c r="O3" s="44" t="s">
        <v>68</v>
      </c>
    </row>
    <row r="4">
      <c r="A4" s="26">
        <v>2.0</v>
      </c>
      <c r="B4" s="28">
        <v>9595393.0</v>
      </c>
      <c r="C4" s="28">
        <v>7687731.0</v>
      </c>
      <c r="D4" s="29">
        <v>106.0</v>
      </c>
      <c r="E4" s="31">
        <f t="shared" ref="E4:F4" si="2">C4*E1</f>
        <v>1230036.96</v>
      </c>
      <c r="F4" s="31">
        <f t="shared" si="2"/>
        <v>132500</v>
      </c>
      <c r="G4" s="31"/>
      <c r="H4" s="28">
        <v>3193374.0</v>
      </c>
      <c r="I4" s="31">
        <f>C4*I1</f>
        <v>691127.0169</v>
      </c>
      <c r="J4" s="31">
        <f>C4*J1</f>
        <v>691895.79</v>
      </c>
      <c r="K4" s="31">
        <f>C4*K1</f>
        <v>1293076.354</v>
      </c>
      <c r="L4" s="31">
        <f t="shared" si="3"/>
        <v>7232010.121</v>
      </c>
      <c r="M4" s="31">
        <f t="shared" si="4"/>
        <v>455720.8789</v>
      </c>
      <c r="N4" s="42">
        <f t="shared" si="5"/>
        <v>0.06301441387</v>
      </c>
      <c r="O4" s="44" t="s">
        <v>84</v>
      </c>
    </row>
    <row r="5">
      <c r="A5" s="26">
        <v>3.0</v>
      </c>
      <c r="B5" s="28">
        <v>7609031.0</v>
      </c>
      <c r="C5" s="28">
        <v>6405684.0</v>
      </c>
      <c r="D5" s="29">
        <v>90.0</v>
      </c>
      <c r="E5" s="31">
        <f t="shared" ref="E5:F5" si="6">C5*E1</f>
        <v>1024909.44</v>
      </c>
      <c r="F5" s="31">
        <f t="shared" si="6"/>
        <v>112500</v>
      </c>
      <c r="G5" s="31"/>
      <c r="H5" s="28">
        <v>2576595.0</v>
      </c>
      <c r="I5" s="31">
        <f>C5*I1</f>
        <v>575870.9916</v>
      </c>
      <c r="J5" s="31">
        <f>C5*J1</f>
        <v>576511.56</v>
      </c>
      <c r="K5" s="31">
        <f>C5*K1</f>
        <v>1077436.049</v>
      </c>
      <c r="L5" s="31">
        <f t="shared" si="3"/>
        <v>5943823.04</v>
      </c>
      <c r="M5" s="31">
        <f t="shared" si="4"/>
        <v>461860.9596</v>
      </c>
      <c r="N5" s="42">
        <f t="shared" si="5"/>
        <v>0.07770435904</v>
      </c>
      <c r="O5" s="44" t="s">
        <v>92</v>
      </c>
    </row>
    <row r="6">
      <c r="A6" s="26">
        <v>4.0</v>
      </c>
      <c r="B6" s="28">
        <v>8890778.0</v>
      </c>
      <c r="C6" s="28">
        <v>6918698.0</v>
      </c>
      <c r="D6" s="29">
        <v>90.0</v>
      </c>
      <c r="E6" s="31">
        <f t="shared" ref="E6:F6" si="7">C6*E1</f>
        <v>1106991.68</v>
      </c>
      <c r="F6" s="31">
        <f t="shared" si="7"/>
        <v>112500</v>
      </c>
      <c r="G6" s="31"/>
      <c r="H6" s="28">
        <v>3431902.0</v>
      </c>
      <c r="I6" s="31">
        <f>C6*I1</f>
        <v>621990.9502</v>
      </c>
      <c r="J6" s="31">
        <f>C6*J1</f>
        <v>622682.82</v>
      </c>
      <c r="K6" s="31">
        <f>C6*K1</f>
        <v>1163725.004</v>
      </c>
      <c r="L6" s="31">
        <f t="shared" si="3"/>
        <v>7059792.454</v>
      </c>
      <c r="M6" s="31">
        <f t="shared" si="4"/>
        <v>-141094.4538</v>
      </c>
      <c r="N6" s="42">
        <f t="shared" si="5"/>
        <v>-0.01998563764</v>
      </c>
      <c r="O6" s="44" t="s">
        <v>98</v>
      </c>
    </row>
    <row r="7">
      <c r="A7" s="26">
        <v>5.0</v>
      </c>
      <c r="B7" s="28">
        <v>1.0917802E7</v>
      </c>
      <c r="C7" s="28">
        <v>9176851.0</v>
      </c>
      <c r="D7" s="29">
        <v>129.0</v>
      </c>
      <c r="E7" s="31">
        <f t="shared" ref="E7:F7" si="8">C7*E1</f>
        <v>1468296.16</v>
      </c>
      <c r="F7" s="31">
        <f t="shared" si="8"/>
        <v>161250</v>
      </c>
      <c r="G7" s="31"/>
      <c r="H7" s="28">
        <v>3598777.0</v>
      </c>
      <c r="I7" s="31">
        <f>C7*I1</f>
        <v>824998.9049</v>
      </c>
      <c r="J7" s="31">
        <f>C7*J1</f>
        <v>825916.59</v>
      </c>
      <c r="K7" s="31">
        <f>C7*K1</f>
        <v>1543546.338</v>
      </c>
      <c r="L7" s="31">
        <f t="shared" si="3"/>
        <v>8422784.993</v>
      </c>
      <c r="M7" s="31">
        <f t="shared" si="4"/>
        <v>754066.0069</v>
      </c>
      <c r="N7" s="42">
        <f t="shared" si="5"/>
        <v>0.08952692103</v>
      </c>
      <c r="O7" s="44" t="s">
        <v>104</v>
      </c>
    </row>
    <row r="8">
      <c r="A8" s="26">
        <v>6.0</v>
      </c>
      <c r="B8" s="28">
        <v>1.0315345E7</v>
      </c>
      <c r="C8" s="28">
        <v>8976139.0</v>
      </c>
      <c r="D8" s="29">
        <v>122.0</v>
      </c>
      <c r="E8" s="31">
        <f t="shared" ref="E8:F8" si="9">C8*E1</f>
        <v>1436182.24</v>
      </c>
      <c r="F8" s="31">
        <f t="shared" si="9"/>
        <v>152500</v>
      </c>
      <c r="G8" s="31"/>
      <c r="H8" s="28">
        <v>3133519.0</v>
      </c>
      <c r="I8" s="31">
        <f>C8*I1</f>
        <v>806954.8961</v>
      </c>
      <c r="J8" s="31">
        <f>C8*J1</f>
        <v>807852.51</v>
      </c>
      <c r="K8" s="31">
        <f>C8*K1</f>
        <v>1509786.58</v>
      </c>
      <c r="L8" s="31">
        <f t="shared" si="3"/>
        <v>7846795.226</v>
      </c>
      <c r="M8" s="31">
        <f t="shared" si="4"/>
        <v>1129343.774</v>
      </c>
      <c r="N8" s="42">
        <f t="shared" si="5"/>
        <v>0.1439242062</v>
      </c>
      <c r="O8" s="44" t="s">
        <v>112</v>
      </c>
    </row>
    <row r="9">
      <c r="A9" s="26">
        <v>7.0</v>
      </c>
      <c r="B9" s="28">
        <v>8446601.0</v>
      </c>
      <c r="C9" s="28">
        <v>7446611.0</v>
      </c>
      <c r="D9" s="29">
        <v>106.0</v>
      </c>
      <c r="E9" s="31">
        <f t="shared" ref="E9:F9" si="10">C9*E1</f>
        <v>1191457.76</v>
      </c>
      <c r="F9" s="31">
        <f t="shared" si="10"/>
        <v>132500</v>
      </c>
      <c r="G9" s="31"/>
      <c r="H9" s="28">
        <v>2970175.0</v>
      </c>
      <c r="I9" s="31">
        <f>C9*I1</f>
        <v>669450.3289</v>
      </c>
      <c r="J9" s="31">
        <f>C9*J1</f>
        <v>670194.99</v>
      </c>
      <c r="K9" s="31">
        <f>C9*K1</f>
        <v>1252519.97</v>
      </c>
      <c r="L9" s="31">
        <f t="shared" si="3"/>
        <v>6886298.049</v>
      </c>
      <c r="M9" s="31">
        <f t="shared" si="4"/>
        <v>560312.9509</v>
      </c>
      <c r="N9" s="42">
        <f t="shared" si="5"/>
        <v>0.08136635198</v>
      </c>
      <c r="O9" s="44" t="s">
        <v>117</v>
      </c>
    </row>
    <row r="10">
      <c r="A10" s="26">
        <v>8.0</v>
      </c>
      <c r="B10" s="28">
        <v>5538870.0</v>
      </c>
      <c r="C10" s="28">
        <v>4660841.0</v>
      </c>
      <c r="D10" s="29">
        <v>70.0</v>
      </c>
      <c r="E10" s="31">
        <f t="shared" ref="E10:F10" si="11">C10*E1</f>
        <v>745734.56</v>
      </c>
      <c r="F10" s="31">
        <f t="shared" si="11"/>
        <v>87500</v>
      </c>
      <c r="G10" s="31"/>
      <c r="H10" s="28">
        <v>1889601.0</v>
      </c>
      <c r="I10" s="31">
        <f>C10*I1</f>
        <v>419009.6059</v>
      </c>
      <c r="J10" s="31">
        <f>C10*J1</f>
        <v>419475.69</v>
      </c>
      <c r="K10" s="31">
        <f>C10*K1</f>
        <v>783953.4562</v>
      </c>
      <c r="L10" s="31">
        <f t="shared" si="3"/>
        <v>4345274.312</v>
      </c>
      <c r="M10" s="31">
        <f t="shared" si="4"/>
        <v>315566.6879</v>
      </c>
      <c r="N10" s="42">
        <f t="shared" si="5"/>
        <v>0.07262296123</v>
      </c>
      <c r="O10" s="44" t="s">
        <v>118</v>
      </c>
    </row>
    <row r="11">
      <c r="A11" s="26">
        <v>9.0</v>
      </c>
      <c r="B11" s="28">
        <v>7540847.0</v>
      </c>
      <c r="C11" s="28">
        <v>5923916.0</v>
      </c>
      <c r="D11" s="29">
        <v>79.0</v>
      </c>
      <c r="E11" s="31">
        <f t="shared" ref="E11:F11" si="12">C11*E1</f>
        <v>947826.56</v>
      </c>
      <c r="F11" s="31">
        <f t="shared" si="12"/>
        <v>98750</v>
      </c>
      <c r="G11" s="31"/>
      <c r="H11" s="28">
        <v>2219539.0</v>
      </c>
      <c r="I11" s="31">
        <f>C11*I1</f>
        <v>532560.0484</v>
      </c>
      <c r="J11" s="31">
        <f>C11*J1</f>
        <v>533152.44</v>
      </c>
      <c r="K11" s="31">
        <f>C11*K1</f>
        <v>996402.6712</v>
      </c>
      <c r="L11" s="31">
        <f t="shared" si="3"/>
        <v>5328230.72</v>
      </c>
      <c r="M11" s="31">
        <f t="shared" si="4"/>
        <v>595685.2804</v>
      </c>
      <c r="N11" s="42">
        <f t="shared" si="5"/>
        <v>0.1117979517</v>
      </c>
      <c r="O11" s="44" t="s">
        <v>121</v>
      </c>
    </row>
    <row r="12">
      <c r="A12" s="26">
        <v>10.0</v>
      </c>
      <c r="B12" s="28">
        <v>1.0522683E7</v>
      </c>
      <c r="C12" s="28">
        <v>9358192.0</v>
      </c>
      <c r="D12" s="29">
        <v>121.0</v>
      </c>
      <c r="E12" s="31">
        <f t="shared" ref="E12:F12" si="13">C12*E1</f>
        <v>1497310.72</v>
      </c>
      <c r="F12" s="31">
        <f t="shared" si="13"/>
        <v>151250</v>
      </c>
      <c r="G12" s="31"/>
      <c r="H12" s="28">
        <v>2857851.0</v>
      </c>
      <c r="I12" s="31">
        <f>C12*I1</f>
        <v>841301.4608</v>
      </c>
      <c r="J12" s="31">
        <f>C12*J1</f>
        <v>842237.28</v>
      </c>
      <c r="K12" s="31">
        <f>C12*K1</f>
        <v>1574047.894</v>
      </c>
      <c r="L12" s="31">
        <f t="shared" si="3"/>
        <v>7763998.355</v>
      </c>
      <c r="M12" s="31">
        <f t="shared" si="4"/>
        <v>1594193.645</v>
      </c>
      <c r="N12" s="42">
        <f t="shared" si="5"/>
        <v>0.2053315279</v>
      </c>
      <c r="O12" s="44" t="s">
        <v>126</v>
      </c>
    </row>
    <row r="13">
      <c r="A13" s="26">
        <v>11.0</v>
      </c>
      <c r="B13" s="28">
        <v>9297652.0</v>
      </c>
      <c r="C13" s="28">
        <v>7600189.0</v>
      </c>
      <c r="D13" s="29">
        <v>98.0</v>
      </c>
      <c r="E13" s="31">
        <f t="shared" ref="E13:F13" si="14">C13*E1</f>
        <v>1216030.24</v>
      </c>
      <c r="F13" s="31">
        <f t="shared" si="14"/>
        <v>122500</v>
      </c>
      <c r="G13" s="31"/>
      <c r="H13" s="28">
        <v>2649669.0</v>
      </c>
      <c r="I13" s="31">
        <f>C13*I1</f>
        <v>683256.9911</v>
      </c>
      <c r="J13" s="31">
        <f>C13*J1</f>
        <v>684017.01</v>
      </c>
      <c r="K13" s="31">
        <f>C13*K1</f>
        <v>1278351.79</v>
      </c>
      <c r="L13" s="31">
        <f t="shared" si="3"/>
        <v>6633825.031</v>
      </c>
      <c r="M13" s="31">
        <f t="shared" si="4"/>
        <v>966363.9691</v>
      </c>
      <c r="N13" s="42">
        <f t="shared" si="5"/>
        <v>0.1456722124</v>
      </c>
      <c r="O13" s="44" t="s">
        <v>131</v>
      </c>
    </row>
    <row r="14">
      <c r="A14" s="26">
        <v>12.0</v>
      </c>
      <c r="B14" s="28">
        <v>4946694.0</v>
      </c>
      <c r="C14" s="28">
        <v>4214579.0</v>
      </c>
      <c r="D14" s="29">
        <v>60.0</v>
      </c>
      <c r="E14" s="31">
        <f t="shared" ref="E14:F14" si="15">C14*E1</f>
        <v>674332.64</v>
      </c>
      <c r="F14" s="31">
        <f t="shared" si="15"/>
        <v>75000</v>
      </c>
      <c r="G14" s="31"/>
      <c r="H14" s="28">
        <v>1146572.0</v>
      </c>
      <c r="I14" s="31">
        <f>C14*I1</f>
        <v>378890.6521</v>
      </c>
      <c r="J14" s="31">
        <f>C14*J1</f>
        <v>379312.11</v>
      </c>
      <c r="K14" s="31">
        <f>C14*K1</f>
        <v>708892.1878</v>
      </c>
      <c r="L14" s="31">
        <f t="shared" si="3"/>
        <v>3362999.59</v>
      </c>
      <c r="M14" s="31">
        <f t="shared" si="4"/>
        <v>851579.4101</v>
      </c>
      <c r="N14" s="42">
        <f t="shared" si="5"/>
        <v>0.2532201945</v>
      </c>
      <c r="O14" s="44" t="s">
        <v>132</v>
      </c>
    </row>
    <row r="15">
      <c r="A15" s="26">
        <v>13.0</v>
      </c>
      <c r="B15" s="28">
        <v>6683151.0</v>
      </c>
      <c r="C15" s="28">
        <v>5767914.0</v>
      </c>
      <c r="D15" s="29">
        <v>82.0</v>
      </c>
      <c r="E15" s="31">
        <f t="shared" ref="E15:F15" si="16">C15*E1</f>
        <v>922866.24</v>
      </c>
      <c r="F15" s="31">
        <f t="shared" si="16"/>
        <v>102500</v>
      </c>
      <c r="G15" s="31"/>
      <c r="H15" s="28">
        <v>1509695.0</v>
      </c>
      <c r="I15" s="31">
        <f>C15*I1</f>
        <v>518535.4686</v>
      </c>
      <c r="J15" s="31">
        <f>C15*J1</f>
        <v>519112.26</v>
      </c>
      <c r="K15" s="31">
        <f>C15*K1</f>
        <v>970163.1348</v>
      </c>
      <c r="L15" s="31">
        <f t="shared" si="3"/>
        <v>4542872.103</v>
      </c>
      <c r="M15" s="31">
        <f t="shared" si="4"/>
        <v>1225041.897</v>
      </c>
      <c r="N15" s="42">
        <f t="shared" si="5"/>
        <v>0.2696624225</v>
      </c>
      <c r="O15" s="44" t="s">
        <v>135</v>
      </c>
    </row>
    <row r="16">
      <c r="A16" s="26">
        <v>14.0</v>
      </c>
      <c r="B16" s="31"/>
      <c r="C16" s="31"/>
      <c r="D16" s="49"/>
      <c r="E16" s="49"/>
      <c r="F16" s="31"/>
      <c r="G16" s="31"/>
      <c r="H16" s="31"/>
      <c r="I16" s="31"/>
      <c r="J16" s="31"/>
      <c r="K16" s="31"/>
      <c r="L16" s="31"/>
      <c r="M16" s="31"/>
      <c r="N16" s="49"/>
      <c r="O16" s="82"/>
    </row>
    <row r="17">
      <c r="A17" s="26">
        <v>15.0</v>
      </c>
      <c r="B17" s="31"/>
      <c r="C17" s="31"/>
      <c r="D17" s="49"/>
      <c r="E17" s="49"/>
      <c r="F17" s="31"/>
      <c r="G17" s="31"/>
      <c r="H17" s="31"/>
      <c r="I17" s="31"/>
      <c r="J17" s="31"/>
      <c r="K17" s="31"/>
      <c r="L17" s="31"/>
      <c r="M17" s="31"/>
      <c r="N17" s="49"/>
      <c r="O17" s="82"/>
    </row>
    <row r="18">
      <c r="A18" s="26">
        <v>16.0</v>
      </c>
      <c r="B18" s="31"/>
      <c r="C18" s="31"/>
      <c r="D18" s="49"/>
      <c r="E18" s="49"/>
      <c r="F18" s="31"/>
      <c r="G18" s="31"/>
      <c r="H18" s="31"/>
      <c r="I18" s="31"/>
      <c r="J18" s="31"/>
      <c r="K18" s="31"/>
      <c r="L18" s="31"/>
      <c r="M18" s="31"/>
      <c r="N18" s="49"/>
      <c r="O18" s="82"/>
    </row>
    <row r="19">
      <c r="A19" s="26">
        <v>17.0</v>
      </c>
      <c r="B19" s="31"/>
      <c r="C19" s="31"/>
      <c r="D19" s="49"/>
      <c r="E19" s="49"/>
      <c r="F19" s="31"/>
      <c r="G19" s="31"/>
      <c r="H19" s="31"/>
      <c r="I19" s="31"/>
      <c r="J19" s="31"/>
      <c r="K19" s="31"/>
      <c r="L19" s="31"/>
      <c r="M19" s="31"/>
      <c r="N19" s="49"/>
      <c r="O19" s="82"/>
    </row>
    <row r="20">
      <c r="A20" s="26">
        <v>18.0</v>
      </c>
      <c r="B20" s="31"/>
      <c r="C20" s="31"/>
      <c r="D20" s="49"/>
      <c r="E20" s="49"/>
      <c r="F20" s="31"/>
      <c r="G20" s="31"/>
      <c r="H20" s="31"/>
      <c r="I20" s="31"/>
      <c r="J20" s="31"/>
      <c r="K20" s="31"/>
      <c r="L20" s="31"/>
      <c r="M20" s="31"/>
      <c r="N20" s="49"/>
      <c r="O20" s="82"/>
    </row>
    <row r="21">
      <c r="A21" s="26">
        <v>19.0</v>
      </c>
      <c r="B21" s="31"/>
      <c r="C21" s="31"/>
      <c r="D21" s="49"/>
      <c r="E21" s="49"/>
      <c r="F21" s="31"/>
      <c r="G21" s="31"/>
      <c r="H21" s="31"/>
      <c r="I21" s="31"/>
      <c r="J21" s="31"/>
      <c r="K21" s="31"/>
      <c r="L21" s="31"/>
      <c r="M21" s="31"/>
      <c r="N21" s="49"/>
      <c r="O21" s="82"/>
    </row>
    <row r="22">
      <c r="A22" s="26">
        <v>20.0</v>
      </c>
      <c r="B22" s="31"/>
      <c r="C22" s="31"/>
      <c r="D22" s="49"/>
      <c r="E22" s="49"/>
      <c r="F22" s="31"/>
      <c r="G22" s="31"/>
      <c r="H22" s="31"/>
      <c r="I22" s="31"/>
      <c r="J22" s="31"/>
      <c r="K22" s="31"/>
      <c r="L22" s="31"/>
      <c r="M22" s="31"/>
      <c r="N22" s="49"/>
      <c r="O22" s="82"/>
    </row>
    <row r="23">
      <c r="A23" s="26">
        <v>21.0</v>
      </c>
      <c r="B23" s="31"/>
      <c r="C23" s="31"/>
      <c r="D23" s="49"/>
      <c r="E23" s="49"/>
      <c r="F23" s="31"/>
      <c r="G23" s="31"/>
      <c r="H23" s="31"/>
      <c r="I23" s="31"/>
      <c r="J23" s="31"/>
      <c r="K23" s="31"/>
      <c r="L23" s="31"/>
      <c r="M23" s="31"/>
      <c r="N23" s="49"/>
      <c r="O23" s="82"/>
    </row>
    <row r="24">
      <c r="A24" s="26">
        <v>22.0</v>
      </c>
      <c r="B24" s="31"/>
      <c r="C24" s="31"/>
      <c r="D24" s="49"/>
      <c r="E24" s="49"/>
      <c r="F24" s="31"/>
      <c r="G24" s="31"/>
      <c r="H24" s="31"/>
      <c r="I24" s="31"/>
      <c r="J24" s="31"/>
      <c r="K24" s="31"/>
      <c r="L24" s="31"/>
      <c r="M24" s="31"/>
      <c r="N24" s="49"/>
      <c r="O24" s="82"/>
    </row>
    <row r="25">
      <c r="A25" s="26">
        <v>23.0</v>
      </c>
      <c r="B25" s="31"/>
      <c r="C25" s="31"/>
      <c r="D25" s="49"/>
      <c r="E25" s="49"/>
      <c r="F25" s="31"/>
      <c r="G25" s="31"/>
      <c r="H25" s="31"/>
      <c r="I25" s="31"/>
      <c r="J25" s="31"/>
      <c r="K25" s="31"/>
      <c r="L25" s="31"/>
      <c r="M25" s="31"/>
      <c r="N25" s="49"/>
      <c r="O25" s="82"/>
    </row>
    <row r="26">
      <c r="A26" s="26">
        <v>24.0</v>
      </c>
      <c r="B26" s="31"/>
      <c r="C26" s="31"/>
      <c r="D26" s="49"/>
      <c r="E26" s="49"/>
      <c r="F26" s="31"/>
      <c r="G26" s="31"/>
      <c r="H26" s="31"/>
      <c r="I26" s="31"/>
      <c r="J26" s="31"/>
      <c r="K26" s="31"/>
      <c r="L26" s="31"/>
      <c r="M26" s="31"/>
      <c r="N26" s="49"/>
      <c r="O26" s="82"/>
    </row>
    <row r="27">
      <c r="A27" s="26">
        <v>25.0</v>
      </c>
      <c r="B27" s="31"/>
      <c r="C27" s="31"/>
      <c r="D27" s="49"/>
      <c r="E27" s="49"/>
      <c r="F27" s="31"/>
      <c r="G27" s="31"/>
      <c r="H27" s="31"/>
      <c r="I27" s="31"/>
      <c r="J27" s="31"/>
      <c r="K27" s="31"/>
      <c r="L27" s="31"/>
      <c r="M27" s="31"/>
      <c r="N27" s="49"/>
      <c r="O27" s="82"/>
    </row>
    <row r="28">
      <c r="A28" s="26">
        <v>26.0</v>
      </c>
      <c r="B28" s="31"/>
      <c r="C28" s="31"/>
      <c r="D28" s="49"/>
      <c r="E28" s="49"/>
      <c r="F28" s="31"/>
      <c r="G28" s="31"/>
      <c r="H28" s="31"/>
      <c r="I28" s="31"/>
      <c r="J28" s="31"/>
      <c r="K28" s="31"/>
      <c r="L28" s="31"/>
      <c r="M28" s="31"/>
      <c r="N28" s="49"/>
      <c r="O28" s="82"/>
    </row>
    <row r="29">
      <c r="A29" s="26">
        <v>27.0</v>
      </c>
      <c r="B29" s="31"/>
      <c r="C29" s="31"/>
      <c r="D29" s="49"/>
      <c r="E29" s="49"/>
      <c r="F29" s="31"/>
      <c r="G29" s="31"/>
      <c r="H29" s="31"/>
      <c r="I29" s="31"/>
      <c r="J29" s="31"/>
      <c r="K29" s="31"/>
      <c r="L29" s="31"/>
      <c r="M29" s="31"/>
      <c r="N29" s="49"/>
      <c r="O29" s="82"/>
    </row>
    <row r="30">
      <c r="A30" s="26">
        <v>28.0</v>
      </c>
      <c r="B30" s="31"/>
      <c r="C30" s="31"/>
      <c r="D30" s="49"/>
      <c r="E30" s="49"/>
      <c r="F30" s="31"/>
      <c r="G30" s="31"/>
      <c r="H30" s="31"/>
      <c r="I30" s="31"/>
      <c r="J30" s="31"/>
      <c r="K30" s="31"/>
      <c r="L30" s="31"/>
      <c r="M30" s="31"/>
      <c r="N30" s="49"/>
      <c r="O30" s="82"/>
    </row>
    <row r="31">
      <c r="A31" s="26">
        <v>29.0</v>
      </c>
      <c r="B31" s="31"/>
      <c r="C31" s="31"/>
      <c r="D31" s="49"/>
      <c r="E31" s="49"/>
      <c r="F31" s="31"/>
      <c r="G31" s="31"/>
      <c r="H31" s="31"/>
      <c r="I31" s="31"/>
      <c r="J31" s="31"/>
      <c r="K31" s="31"/>
      <c r="L31" s="31"/>
      <c r="M31" s="31"/>
      <c r="N31" s="49"/>
      <c r="O31" s="82"/>
    </row>
    <row r="32">
      <c r="A32" s="26">
        <v>30.0</v>
      </c>
      <c r="B32" s="31"/>
      <c r="C32" s="31"/>
      <c r="D32" s="49"/>
      <c r="E32" s="49"/>
      <c r="F32" s="31"/>
      <c r="G32" s="31"/>
      <c r="H32" s="31"/>
      <c r="I32" s="31"/>
      <c r="J32" s="31"/>
      <c r="K32" s="31"/>
      <c r="L32" s="31"/>
      <c r="M32" s="31"/>
      <c r="N32" s="49"/>
      <c r="O32" s="82"/>
    </row>
    <row r="33">
      <c r="A33" s="26">
        <v>31.0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82"/>
    </row>
    <row r="34" ht="4.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8"/>
    </row>
    <row r="35">
      <c r="A35" s="89" t="s">
        <v>151</v>
      </c>
      <c r="B35" s="90">
        <f t="shared" ref="B35:E35" si="17">SUM(B2:B33)</f>
        <v>105485832</v>
      </c>
      <c r="C35" s="90">
        <f t="shared" si="17"/>
        <v>88710186</v>
      </c>
      <c r="D35" s="90">
        <f t="shared" si="17"/>
        <v>1220</v>
      </c>
      <c r="E35" s="90">
        <f t="shared" si="17"/>
        <v>14193629.76</v>
      </c>
      <c r="F35" s="90"/>
      <c r="G35" s="90"/>
      <c r="H35" s="90">
        <f t="shared" ref="H35:M35" si="18">SUM(H2:H33)</f>
        <v>33158612</v>
      </c>
      <c r="I35" s="90">
        <f t="shared" si="18"/>
        <v>7975045.721</v>
      </c>
      <c r="J35" s="90">
        <f t="shared" si="18"/>
        <v>7983916.74</v>
      </c>
      <c r="K35" s="90">
        <f t="shared" si="18"/>
        <v>14921053.29</v>
      </c>
      <c r="L35" s="90">
        <f t="shared" si="18"/>
        <v>79757257.51</v>
      </c>
      <c r="M35" s="90">
        <f t="shared" si="18"/>
        <v>8952928.493</v>
      </c>
      <c r="N35" s="91">
        <f>M35/L35</f>
        <v>0.1122522109</v>
      </c>
      <c r="O35" s="92"/>
    </row>
    <row r="36" ht="6.0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4"/>
    </row>
    <row r="37">
      <c r="O37" s="95"/>
    </row>
    <row r="38">
      <c r="O38" s="95"/>
    </row>
    <row r="39">
      <c r="O39" s="96"/>
    </row>
    <row r="40">
      <c r="O40" s="96"/>
    </row>
    <row r="41">
      <c r="O41" s="96"/>
    </row>
    <row r="42">
      <c r="O42" s="96"/>
    </row>
    <row r="43">
      <c r="O43" s="96"/>
    </row>
    <row r="44">
      <c r="O44" s="96"/>
    </row>
    <row r="45">
      <c r="O45" s="96"/>
    </row>
    <row r="46">
      <c r="O46" s="96"/>
    </row>
    <row r="47">
      <c r="O47" s="96"/>
    </row>
    <row r="48">
      <c r="O48" s="96"/>
    </row>
    <row r="49">
      <c r="O49" s="96"/>
    </row>
    <row r="50">
      <c r="O50" s="96"/>
    </row>
    <row r="51">
      <c r="O51" s="96"/>
    </row>
    <row r="52">
      <c r="O52" s="96"/>
    </row>
    <row r="53">
      <c r="O53" s="96"/>
    </row>
    <row r="54">
      <c r="O54" s="96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2.25"/>
    <col customWidth="1" min="6" max="6" width="15.25"/>
  </cols>
  <sheetData>
    <row r="1">
      <c r="A1" s="2" t="s">
        <v>2</v>
      </c>
      <c r="B1" s="2" t="s">
        <v>4</v>
      </c>
      <c r="C1" s="2" t="s">
        <v>5</v>
      </c>
      <c r="D1" s="2" t="s">
        <v>6</v>
      </c>
      <c r="E1" s="6" t="s">
        <v>7</v>
      </c>
      <c r="F1" s="9" t="s">
        <v>10</v>
      </c>
    </row>
    <row r="2">
      <c r="A2" s="11" t="s">
        <v>13</v>
      </c>
      <c r="B2" s="11" t="s">
        <v>15</v>
      </c>
      <c r="C2" s="14"/>
      <c r="D2" s="16" t="s">
        <v>18</v>
      </c>
      <c r="E2" s="19">
        <v>109800.0</v>
      </c>
      <c r="F2" s="19">
        <v>26200.0</v>
      </c>
    </row>
    <row r="3">
      <c r="A3" s="11" t="s">
        <v>26</v>
      </c>
      <c r="B3" s="11" t="s">
        <v>28</v>
      </c>
      <c r="C3" s="14"/>
      <c r="D3" s="16" t="s">
        <v>18</v>
      </c>
      <c r="E3" s="19">
        <v>109800.0</v>
      </c>
      <c r="F3" s="19">
        <v>26200.0</v>
      </c>
    </row>
    <row r="4">
      <c r="A4" s="11" t="s">
        <v>33</v>
      </c>
      <c r="B4" s="11" t="s">
        <v>34</v>
      </c>
      <c r="C4" s="14"/>
      <c r="D4" s="16" t="s">
        <v>37</v>
      </c>
      <c r="E4" s="19">
        <v>65700.0</v>
      </c>
      <c r="F4" s="19">
        <v>14500.0</v>
      </c>
    </row>
    <row r="5">
      <c r="A5" s="11" t="s">
        <v>39</v>
      </c>
      <c r="B5" s="11" t="s">
        <v>41</v>
      </c>
      <c r="C5" s="14"/>
      <c r="D5" s="16" t="s">
        <v>37</v>
      </c>
      <c r="E5" s="19">
        <v>65700.0</v>
      </c>
      <c r="F5" s="19">
        <v>14500.0</v>
      </c>
    </row>
    <row r="6">
      <c r="A6" s="11" t="s">
        <v>45</v>
      </c>
      <c r="B6" s="11" t="s">
        <v>47</v>
      </c>
      <c r="C6" s="14"/>
      <c r="D6" s="16" t="s">
        <v>37</v>
      </c>
      <c r="E6" s="19">
        <v>65700.0</v>
      </c>
      <c r="F6" s="19">
        <v>14500.0</v>
      </c>
    </row>
    <row r="7">
      <c r="A7" s="11" t="s">
        <v>49</v>
      </c>
      <c r="B7" s="11" t="s">
        <v>50</v>
      </c>
      <c r="C7" s="14"/>
      <c r="D7" s="16" t="s">
        <v>37</v>
      </c>
      <c r="E7" s="19">
        <v>65700.0</v>
      </c>
      <c r="F7" s="19">
        <v>14500.0</v>
      </c>
    </row>
    <row r="8">
      <c r="A8" s="11" t="s">
        <v>53</v>
      </c>
      <c r="B8" s="11" t="s">
        <v>54</v>
      </c>
      <c r="C8" s="14"/>
      <c r="D8" s="16" t="s">
        <v>37</v>
      </c>
      <c r="E8" s="19">
        <v>65700.0</v>
      </c>
      <c r="F8" s="19">
        <v>14500.0</v>
      </c>
    </row>
    <row r="9">
      <c r="A9" s="11" t="s">
        <v>55</v>
      </c>
      <c r="B9" s="11" t="s">
        <v>56</v>
      </c>
      <c r="C9" s="14"/>
      <c r="D9" s="16" t="s">
        <v>37</v>
      </c>
      <c r="E9" s="19">
        <v>65700.0</v>
      </c>
      <c r="F9" s="19">
        <v>14500.0</v>
      </c>
    </row>
    <row r="10">
      <c r="A10" s="11" t="s">
        <v>58</v>
      </c>
      <c r="B10" s="11" t="s">
        <v>59</v>
      </c>
      <c r="C10" s="14"/>
      <c r="D10" s="16" t="s">
        <v>37</v>
      </c>
      <c r="E10" s="19">
        <v>71900.0</v>
      </c>
      <c r="F10" s="19">
        <v>16500.0</v>
      </c>
    </row>
    <row r="11">
      <c r="A11" s="11" t="s">
        <v>61</v>
      </c>
      <c r="B11" s="11" t="s">
        <v>15</v>
      </c>
      <c r="C11" s="14"/>
      <c r="D11" s="16" t="s">
        <v>37</v>
      </c>
      <c r="E11" s="19">
        <v>71900.0</v>
      </c>
      <c r="F11" s="19">
        <v>16500.0</v>
      </c>
    </row>
    <row r="12">
      <c r="A12" s="11" t="s">
        <v>62</v>
      </c>
      <c r="B12" s="11" t="s">
        <v>28</v>
      </c>
      <c r="C12" s="14"/>
      <c r="D12" s="16" t="s">
        <v>37</v>
      </c>
      <c r="E12" s="19">
        <v>71900.0</v>
      </c>
      <c r="F12" s="19">
        <v>16500.0</v>
      </c>
    </row>
    <row r="13">
      <c r="A13" s="11" t="s">
        <v>64</v>
      </c>
      <c r="B13" s="11" t="s">
        <v>66</v>
      </c>
      <c r="C13" s="14"/>
      <c r="D13" s="16" t="s">
        <v>37</v>
      </c>
      <c r="E13" s="19">
        <v>71900.0</v>
      </c>
      <c r="F13" s="19">
        <v>16500.0</v>
      </c>
    </row>
    <row r="14">
      <c r="A14" s="11" t="s">
        <v>69</v>
      </c>
      <c r="B14" s="11" t="s">
        <v>70</v>
      </c>
      <c r="C14" s="14"/>
      <c r="D14" s="16" t="s">
        <v>37</v>
      </c>
      <c r="E14" s="19">
        <v>71900.0</v>
      </c>
      <c r="F14" s="19">
        <v>16500.0</v>
      </c>
    </row>
    <row r="15">
      <c r="A15" s="11" t="s">
        <v>73</v>
      </c>
      <c r="B15" s="11" t="s">
        <v>74</v>
      </c>
      <c r="C15" s="14"/>
      <c r="D15" s="16" t="s">
        <v>37</v>
      </c>
      <c r="E15" s="19">
        <v>65700.0</v>
      </c>
      <c r="F15" s="19">
        <v>14500.0</v>
      </c>
    </row>
    <row r="16">
      <c r="A16" s="11" t="s">
        <v>75</v>
      </c>
      <c r="B16" s="11" t="s">
        <v>77</v>
      </c>
      <c r="C16" s="14"/>
      <c r="D16" s="16" t="s">
        <v>37</v>
      </c>
      <c r="E16" s="19">
        <v>65700.0</v>
      </c>
      <c r="F16" s="19">
        <v>14500.0</v>
      </c>
    </row>
    <row r="17">
      <c r="A17" s="11" t="s">
        <v>78</v>
      </c>
      <c r="B17" s="11" t="s">
        <v>79</v>
      </c>
      <c r="C17" s="14"/>
      <c r="D17" s="16" t="s">
        <v>37</v>
      </c>
      <c r="E17" s="19">
        <v>65700.0</v>
      </c>
      <c r="F17" s="19">
        <v>14500.0</v>
      </c>
    </row>
    <row r="18">
      <c r="A18" s="11" t="s">
        <v>82</v>
      </c>
      <c r="B18" s="11" t="s">
        <v>83</v>
      </c>
      <c r="C18" s="52"/>
      <c r="D18" s="53" t="s">
        <v>37</v>
      </c>
      <c r="E18" s="19">
        <v>71900.0</v>
      </c>
      <c r="F18" s="19">
        <v>16500.0</v>
      </c>
    </row>
    <row r="19">
      <c r="A19" s="11" t="s">
        <v>85</v>
      </c>
      <c r="B19" s="11" t="s">
        <v>87</v>
      </c>
      <c r="C19" s="54"/>
      <c r="D19" s="11" t="s">
        <v>37</v>
      </c>
      <c r="E19" s="19">
        <v>65700.0</v>
      </c>
      <c r="F19" s="19">
        <v>14500.0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34.63"/>
    <col customWidth="1" min="3" max="3" width="18.88"/>
    <col customWidth="1" min="4" max="4" width="16.13"/>
    <col customWidth="1" min="7" max="7" width="20.13"/>
  </cols>
  <sheetData>
    <row r="1">
      <c r="A1" s="4" t="s">
        <v>3</v>
      </c>
      <c r="B1" s="4" t="s">
        <v>8</v>
      </c>
      <c r="C1" s="4" t="s">
        <v>9</v>
      </c>
      <c r="D1" s="4" t="s">
        <v>11</v>
      </c>
      <c r="E1" s="15" t="s">
        <v>14</v>
      </c>
      <c r="F1" s="18"/>
      <c r="G1" s="20" t="s">
        <v>23</v>
      </c>
      <c r="H1" s="21"/>
      <c r="I1" s="4" t="s">
        <v>31</v>
      </c>
      <c r="J1" s="4" t="b">
        <v>0</v>
      </c>
      <c r="K1" s="12"/>
      <c r="L1" s="12"/>
    </row>
    <row r="2">
      <c r="A2" s="25" t="s">
        <v>42</v>
      </c>
      <c r="B2" s="27" t="s">
        <v>46</v>
      </c>
      <c r="C2" s="27" t="s">
        <v>48</v>
      </c>
      <c r="D2" s="27" t="s">
        <v>51</v>
      </c>
      <c r="E2" s="30" t="s">
        <v>52</v>
      </c>
      <c r="F2" s="18"/>
      <c r="G2" s="34">
        <f>sum(E4:E1000)-sum(F4:F1000)</f>
        <v>7284827</v>
      </c>
      <c r="H2" s="36"/>
      <c r="I2" s="38"/>
      <c r="J2" s="39" t="b">
        <v>0</v>
      </c>
      <c r="K2" s="12"/>
      <c r="L2" s="12"/>
    </row>
    <row r="3">
      <c r="A3" s="40"/>
      <c r="B3" s="40"/>
      <c r="C3" s="40"/>
      <c r="D3" s="40"/>
      <c r="E3" s="41" t="s">
        <v>63</v>
      </c>
      <c r="F3" s="43" t="s">
        <v>67</v>
      </c>
      <c r="G3" s="40"/>
      <c r="H3" s="45"/>
      <c r="I3" s="40"/>
      <c r="J3" s="40"/>
      <c r="K3" s="12"/>
      <c r="L3" s="12"/>
    </row>
    <row r="4">
      <c r="A4" s="46">
        <v>46205.0</v>
      </c>
      <c r="B4" s="22" t="s">
        <v>72</v>
      </c>
      <c r="C4" s="22"/>
      <c r="D4" s="22"/>
      <c r="E4" s="47">
        <v>5900000.0</v>
      </c>
      <c r="F4" s="48"/>
      <c r="G4" s="49"/>
      <c r="H4" s="49"/>
      <c r="I4" s="49"/>
      <c r="J4" s="49"/>
    </row>
    <row r="5">
      <c r="A5" s="50"/>
      <c r="B5" s="22" t="s">
        <v>80</v>
      </c>
      <c r="C5" s="22"/>
      <c r="D5" s="22"/>
      <c r="E5" s="51"/>
      <c r="F5" s="47">
        <v>4440000.0</v>
      </c>
      <c r="G5" s="49"/>
      <c r="H5" s="49"/>
      <c r="I5" s="49"/>
      <c r="J5" s="49"/>
    </row>
    <row r="6">
      <c r="A6" s="22"/>
      <c r="B6" s="22" t="s">
        <v>80</v>
      </c>
      <c r="C6" s="22"/>
      <c r="D6" s="22"/>
      <c r="E6" s="51"/>
      <c r="F6" s="47">
        <v>1443000.0</v>
      </c>
      <c r="G6" s="49"/>
      <c r="H6" s="49"/>
      <c r="I6" s="49"/>
      <c r="J6" s="49"/>
    </row>
    <row r="7">
      <c r="A7" s="22"/>
      <c r="B7" s="22" t="s">
        <v>80</v>
      </c>
      <c r="C7" s="22"/>
      <c r="D7" s="22"/>
      <c r="E7" s="22"/>
      <c r="F7" s="47">
        <v>999000.0</v>
      </c>
      <c r="G7" s="49"/>
      <c r="H7" s="49"/>
      <c r="I7" s="49"/>
      <c r="J7" s="49"/>
    </row>
    <row r="8">
      <c r="A8" s="46">
        <v>46206.0</v>
      </c>
      <c r="B8" s="22" t="s">
        <v>88</v>
      </c>
      <c r="C8" s="22"/>
      <c r="D8" s="22"/>
      <c r="E8" s="47">
        <v>1753959.0</v>
      </c>
      <c r="F8" s="51"/>
      <c r="G8" s="49"/>
      <c r="H8" s="49"/>
      <c r="I8" s="49"/>
      <c r="J8" s="49"/>
    </row>
    <row r="9">
      <c r="A9" s="50"/>
      <c r="B9" s="22" t="s">
        <v>90</v>
      </c>
      <c r="C9" s="22" t="s">
        <v>91</v>
      </c>
      <c r="D9" s="22"/>
      <c r="E9" s="51"/>
      <c r="F9" s="47">
        <v>2775000.0</v>
      </c>
      <c r="G9" s="49"/>
      <c r="H9" s="49"/>
      <c r="I9" s="49"/>
      <c r="J9" s="49"/>
    </row>
    <row r="10">
      <c r="A10" s="50"/>
      <c r="B10" s="22" t="s">
        <v>93</v>
      </c>
      <c r="C10" s="22" t="s">
        <v>94</v>
      </c>
      <c r="D10" s="22"/>
      <c r="E10" s="48"/>
      <c r="F10" s="47">
        <v>1110000.0</v>
      </c>
      <c r="G10" s="49"/>
      <c r="H10" s="49"/>
      <c r="I10" s="49"/>
      <c r="J10" s="49"/>
    </row>
    <row r="11">
      <c r="A11" s="22"/>
      <c r="B11" s="22" t="s">
        <v>96</v>
      </c>
      <c r="C11" s="22" t="s">
        <v>94</v>
      </c>
      <c r="D11" s="22"/>
      <c r="E11" s="22"/>
      <c r="F11" s="47">
        <v>555000.0</v>
      </c>
      <c r="G11" s="49"/>
      <c r="H11" s="49"/>
      <c r="I11" s="49"/>
      <c r="J11" s="49"/>
    </row>
    <row r="12">
      <c r="A12" s="46">
        <v>46207.0</v>
      </c>
      <c r="B12" s="22" t="s">
        <v>99</v>
      </c>
      <c r="C12" s="22"/>
      <c r="D12" s="22"/>
      <c r="E12" s="47">
        <v>7215000.0</v>
      </c>
      <c r="F12" s="22"/>
      <c r="G12" s="49"/>
      <c r="H12" s="49"/>
      <c r="I12" s="49"/>
      <c r="J12" s="49"/>
    </row>
    <row r="13">
      <c r="A13" s="22"/>
      <c r="B13" s="22" t="s">
        <v>101</v>
      </c>
      <c r="C13" s="22" t="s">
        <v>102</v>
      </c>
      <c r="D13" s="22"/>
      <c r="E13" s="22"/>
      <c r="F13" s="47">
        <v>2775000.0</v>
      </c>
      <c r="G13" s="49"/>
      <c r="H13" s="49"/>
      <c r="I13" s="49"/>
      <c r="J13" s="49"/>
    </row>
    <row r="14">
      <c r="A14" s="22"/>
      <c r="B14" s="22" t="s">
        <v>90</v>
      </c>
      <c r="C14" s="22"/>
      <c r="D14" s="22"/>
      <c r="E14" s="22"/>
      <c r="F14" s="47">
        <v>4440000.0</v>
      </c>
      <c r="G14" s="49"/>
      <c r="H14" s="49"/>
      <c r="I14" s="49"/>
      <c r="J14" s="49"/>
    </row>
    <row r="15">
      <c r="A15" s="22"/>
      <c r="B15" s="22" t="s">
        <v>105</v>
      </c>
      <c r="C15" s="22" t="s">
        <v>106</v>
      </c>
      <c r="D15" s="22"/>
      <c r="E15" s="22"/>
      <c r="F15" s="47">
        <v>61000.0</v>
      </c>
      <c r="G15" s="49"/>
      <c r="H15" s="49"/>
      <c r="I15" s="49"/>
      <c r="J15" s="49"/>
    </row>
    <row r="16">
      <c r="A16" s="50"/>
      <c r="B16" s="22" t="s">
        <v>107</v>
      </c>
      <c r="C16" s="22" t="s">
        <v>108</v>
      </c>
      <c r="D16" s="22"/>
      <c r="E16" s="48"/>
      <c r="F16" s="47">
        <v>1998000.0</v>
      </c>
      <c r="G16" s="49"/>
      <c r="H16" s="49"/>
      <c r="I16" s="49"/>
      <c r="J16" s="49"/>
    </row>
    <row r="17">
      <c r="A17" s="46">
        <v>46208.0</v>
      </c>
      <c r="B17" s="22" t="s">
        <v>72</v>
      </c>
      <c r="C17" s="22"/>
      <c r="D17" s="22"/>
      <c r="E17" s="47">
        <v>6000000.0</v>
      </c>
      <c r="F17" s="22"/>
      <c r="G17" s="49"/>
      <c r="H17" s="49"/>
      <c r="I17" s="49"/>
      <c r="J17" s="49"/>
    </row>
    <row r="18">
      <c r="A18" s="22"/>
      <c r="B18" s="22" t="s">
        <v>90</v>
      </c>
      <c r="C18" s="22" t="s">
        <v>102</v>
      </c>
      <c r="D18" s="22"/>
      <c r="E18" s="22"/>
      <c r="F18" s="47">
        <v>3330000.0</v>
      </c>
      <c r="G18" s="49"/>
      <c r="H18" s="49"/>
      <c r="I18" s="49"/>
      <c r="J18" s="49"/>
    </row>
    <row r="19">
      <c r="A19" s="46">
        <v>46209.0</v>
      </c>
      <c r="B19" s="22" t="s">
        <v>113</v>
      </c>
      <c r="C19" s="22" t="s">
        <v>102</v>
      </c>
      <c r="D19" s="22"/>
      <c r="E19" s="22"/>
      <c r="F19" s="47">
        <v>450000.0</v>
      </c>
      <c r="G19" s="49"/>
      <c r="H19" s="49"/>
      <c r="I19" s="49"/>
      <c r="J19" s="49"/>
    </row>
    <row r="20">
      <c r="A20" s="50"/>
      <c r="B20" s="22" t="s">
        <v>114</v>
      </c>
      <c r="C20" s="22" t="s">
        <v>102</v>
      </c>
      <c r="D20" s="22"/>
      <c r="E20" s="22"/>
      <c r="F20" s="47">
        <v>300000.0</v>
      </c>
      <c r="G20" s="49"/>
      <c r="H20" s="49"/>
      <c r="I20" s="49"/>
      <c r="J20" s="49"/>
    </row>
    <row r="21">
      <c r="A21" s="22"/>
      <c r="B21" s="22" t="s">
        <v>115</v>
      </c>
      <c r="C21" s="22" t="s">
        <v>102</v>
      </c>
      <c r="D21" s="22"/>
      <c r="E21" s="22"/>
      <c r="F21" s="47">
        <v>1110000.0</v>
      </c>
      <c r="G21" s="49"/>
      <c r="H21" s="49"/>
      <c r="I21" s="49"/>
      <c r="J21" s="49"/>
    </row>
    <row r="22">
      <c r="A22" s="50"/>
      <c r="B22" s="22" t="s">
        <v>116</v>
      </c>
      <c r="C22" s="22"/>
      <c r="D22" s="22"/>
      <c r="E22" s="47">
        <v>4740000.0</v>
      </c>
      <c r="F22" s="22"/>
      <c r="G22" s="49"/>
      <c r="H22" s="49"/>
      <c r="I22" s="49"/>
      <c r="J22" s="49"/>
    </row>
    <row r="23">
      <c r="A23" s="22"/>
      <c r="B23" s="22" t="s">
        <v>90</v>
      </c>
      <c r="C23" s="22" t="s">
        <v>102</v>
      </c>
      <c r="D23" s="22"/>
      <c r="E23" s="22"/>
      <c r="F23" s="47">
        <v>5550000.0</v>
      </c>
      <c r="G23" s="49"/>
      <c r="H23" s="49"/>
      <c r="I23" s="49"/>
      <c r="J23" s="49"/>
    </row>
    <row r="24">
      <c r="A24" s="46">
        <v>46210.0</v>
      </c>
      <c r="B24" s="22" t="s">
        <v>72</v>
      </c>
      <c r="C24" s="22"/>
      <c r="D24" s="22"/>
      <c r="E24" s="47">
        <v>3885000.0</v>
      </c>
      <c r="F24" s="22"/>
      <c r="G24" s="49"/>
      <c r="H24" s="49"/>
      <c r="I24" s="49"/>
      <c r="J24" s="49"/>
    </row>
    <row r="25">
      <c r="A25" s="22"/>
      <c r="B25" s="22" t="s">
        <v>90</v>
      </c>
      <c r="C25" s="22" t="s">
        <v>102</v>
      </c>
      <c r="D25" s="22"/>
      <c r="E25" s="22"/>
      <c r="F25" s="47">
        <v>3885000.0</v>
      </c>
      <c r="G25" s="49"/>
      <c r="H25" s="49"/>
      <c r="I25" s="49"/>
      <c r="J25" s="49"/>
    </row>
    <row r="26">
      <c r="A26" s="46">
        <v>46211.0</v>
      </c>
      <c r="B26" s="22" t="s">
        <v>72</v>
      </c>
      <c r="C26" s="22"/>
      <c r="D26" s="22"/>
      <c r="E26" s="64">
        <v>3330000.0</v>
      </c>
      <c r="F26" s="22"/>
      <c r="G26" s="49"/>
      <c r="H26" s="49"/>
      <c r="I26" s="49"/>
      <c r="J26" s="49"/>
    </row>
    <row r="27">
      <c r="A27" s="22"/>
      <c r="B27" s="22" t="s">
        <v>90</v>
      </c>
      <c r="C27" s="22" t="s">
        <v>102</v>
      </c>
      <c r="D27" s="22"/>
      <c r="E27" s="22"/>
      <c r="F27" s="47">
        <v>3330000.0</v>
      </c>
      <c r="G27" s="49"/>
      <c r="H27" s="49"/>
      <c r="I27" s="49"/>
      <c r="J27" s="49"/>
    </row>
    <row r="28">
      <c r="A28" s="46">
        <v>46213.0</v>
      </c>
      <c r="B28" s="22" t="s">
        <v>99</v>
      </c>
      <c r="C28" s="22"/>
      <c r="D28" s="22"/>
      <c r="E28" s="47">
        <v>1.0506457E7</v>
      </c>
      <c r="F28" s="22"/>
      <c r="G28" s="49"/>
      <c r="H28" s="49"/>
      <c r="I28" s="49"/>
      <c r="J28" s="49"/>
    </row>
    <row r="29">
      <c r="A29" s="22"/>
      <c r="B29" s="22" t="s">
        <v>80</v>
      </c>
      <c r="C29" s="22" t="s">
        <v>102</v>
      </c>
      <c r="D29" s="22"/>
      <c r="E29" s="22"/>
      <c r="F29" s="47">
        <v>3330000.0</v>
      </c>
      <c r="G29" s="49"/>
      <c r="H29" s="49"/>
      <c r="I29" s="49"/>
      <c r="J29" s="49"/>
    </row>
    <row r="30">
      <c r="A30" s="22"/>
      <c r="B30" s="22" t="s">
        <v>120</v>
      </c>
      <c r="C30" s="22" t="s">
        <v>102</v>
      </c>
      <c r="D30" s="22"/>
      <c r="E30" s="22"/>
      <c r="F30" s="74">
        <v>304500.0</v>
      </c>
      <c r="G30" s="49"/>
      <c r="H30" s="49"/>
      <c r="I30" s="49"/>
      <c r="J30" s="49"/>
    </row>
    <row r="31">
      <c r="A31" s="22"/>
      <c r="B31" s="22" t="s">
        <v>122</v>
      </c>
      <c r="C31" s="22" t="s">
        <v>102</v>
      </c>
      <c r="D31" s="22"/>
      <c r="E31" s="22"/>
      <c r="F31" s="47">
        <v>550000.0</v>
      </c>
      <c r="G31" s="49"/>
      <c r="H31" s="49"/>
      <c r="I31" s="49"/>
      <c r="J31" s="49"/>
    </row>
    <row r="32">
      <c r="A32" s="22"/>
      <c r="B32" s="22" t="s">
        <v>123</v>
      </c>
      <c r="C32" s="22" t="s">
        <v>102</v>
      </c>
      <c r="D32" s="22"/>
      <c r="E32" s="22"/>
      <c r="F32" s="47">
        <v>444000.0</v>
      </c>
      <c r="G32" s="49"/>
      <c r="H32" s="49"/>
      <c r="I32" s="49"/>
      <c r="J32" s="49"/>
    </row>
    <row r="33">
      <c r="A33" s="22"/>
      <c r="B33" s="22" t="s">
        <v>124</v>
      </c>
      <c r="C33" s="22" t="s">
        <v>102</v>
      </c>
      <c r="D33" s="22"/>
      <c r="E33" s="22"/>
      <c r="F33" s="47">
        <v>334500.0</v>
      </c>
      <c r="G33" s="49"/>
      <c r="H33" s="49"/>
      <c r="I33" s="49"/>
      <c r="J33" s="49"/>
    </row>
    <row r="34">
      <c r="A34" s="22"/>
      <c r="B34" s="22" t="s">
        <v>125</v>
      </c>
      <c r="C34" s="22" t="s">
        <v>102</v>
      </c>
      <c r="D34" s="22"/>
      <c r="E34" s="22"/>
      <c r="F34" s="47">
        <v>330000.0</v>
      </c>
      <c r="G34" s="49"/>
      <c r="H34" s="49"/>
      <c r="I34" s="49"/>
      <c r="J34" s="49"/>
    </row>
    <row r="35">
      <c r="A35" s="22"/>
      <c r="B35" s="81" t="s">
        <v>127</v>
      </c>
      <c r="C35" s="22" t="s">
        <v>128</v>
      </c>
      <c r="D35" s="22"/>
      <c r="E35" s="22"/>
      <c r="F35" s="48"/>
      <c r="G35" s="49"/>
      <c r="H35" s="49"/>
      <c r="I35" s="49"/>
      <c r="J35" s="49"/>
    </row>
    <row r="36">
      <c r="A36" s="46">
        <v>46214.0</v>
      </c>
      <c r="B36" s="22" t="s">
        <v>99</v>
      </c>
      <c r="C36" s="22" t="s">
        <v>128</v>
      </c>
      <c r="D36" s="22"/>
      <c r="E36" s="47">
        <v>6131646.0</v>
      </c>
      <c r="F36" s="48"/>
      <c r="G36" s="49"/>
      <c r="H36" s="49"/>
      <c r="I36" s="49"/>
      <c r="J36" s="49"/>
    </row>
    <row r="37">
      <c r="A37" s="22"/>
      <c r="B37" s="22" t="s">
        <v>129</v>
      </c>
      <c r="C37" s="22" t="s">
        <v>102</v>
      </c>
      <c r="D37" s="22"/>
      <c r="E37" s="22"/>
      <c r="F37" s="47">
        <v>5550000.0</v>
      </c>
      <c r="G37" s="49"/>
      <c r="H37" s="49"/>
      <c r="I37" s="49"/>
      <c r="J37" s="49"/>
    </row>
    <row r="38">
      <c r="A38" s="22"/>
      <c r="B38" s="81" t="s">
        <v>130</v>
      </c>
      <c r="C38" s="22" t="s">
        <v>128</v>
      </c>
      <c r="D38" s="22"/>
      <c r="E38" s="22"/>
      <c r="F38" s="22"/>
      <c r="G38" s="49"/>
      <c r="H38" s="49"/>
      <c r="I38" s="49"/>
      <c r="J38" s="49"/>
    </row>
    <row r="39">
      <c r="A39" s="46">
        <v>46217.0</v>
      </c>
      <c r="B39" s="22" t="s">
        <v>99</v>
      </c>
      <c r="C39" s="22"/>
      <c r="D39" s="22"/>
      <c r="E39" s="47">
        <v>1.4397398E7</v>
      </c>
      <c r="F39" s="22"/>
      <c r="G39" s="49"/>
      <c r="H39" s="49"/>
      <c r="I39" s="49"/>
      <c r="J39" s="49"/>
    </row>
    <row r="40">
      <c r="A40" s="22"/>
      <c r="B40" s="22" t="s">
        <v>80</v>
      </c>
      <c r="C40" s="22" t="s">
        <v>102</v>
      </c>
      <c r="D40" s="22"/>
      <c r="E40" s="22"/>
      <c r="F40" s="47">
        <v>1.11E7</v>
      </c>
      <c r="G40" s="49"/>
      <c r="H40" s="49"/>
      <c r="I40" s="49"/>
      <c r="J40" s="49"/>
    </row>
    <row r="41">
      <c r="A41" s="22"/>
      <c r="B41" s="22" t="s">
        <v>133</v>
      </c>
      <c r="C41" s="22" t="s">
        <v>102</v>
      </c>
      <c r="D41" s="22"/>
      <c r="E41" s="22"/>
      <c r="F41" s="47">
        <v>555000.0</v>
      </c>
      <c r="G41" s="49"/>
      <c r="H41" s="49"/>
      <c r="I41" s="49"/>
      <c r="J41" s="49"/>
    </row>
    <row r="42">
      <c r="A42" s="22"/>
      <c r="B42" s="22" t="s">
        <v>134</v>
      </c>
      <c r="C42" s="22" t="s">
        <v>102</v>
      </c>
      <c r="D42" s="22"/>
      <c r="E42" s="22"/>
      <c r="F42" s="47">
        <v>25000.0</v>
      </c>
      <c r="G42" s="49"/>
      <c r="H42" s="49"/>
      <c r="I42" s="49"/>
      <c r="J42" s="49"/>
    </row>
    <row r="43">
      <c r="A43" s="50"/>
      <c r="B43" s="81" t="s">
        <v>136</v>
      </c>
      <c r="C43" s="22" t="s">
        <v>128</v>
      </c>
      <c r="D43" s="22"/>
      <c r="E43" s="48"/>
      <c r="F43" s="22"/>
      <c r="G43" s="49"/>
      <c r="H43" s="49"/>
      <c r="I43" s="49"/>
      <c r="J43" s="49"/>
    </row>
    <row r="44">
      <c r="A44" s="46">
        <v>46218.0</v>
      </c>
      <c r="B44" s="22" t="s">
        <v>137</v>
      </c>
      <c r="C44" s="22"/>
      <c r="D44" s="22"/>
      <c r="E44" s="47">
        <v>4749367.0</v>
      </c>
      <c r="F44" s="22"/>
      <c r="G44" s="49"/>
      <c r="H44" s="49"/>
      <c r="I44" s="49"/>
      <c r="J44" s="49"/>
    </row>
    <row r="45">
      <c r="A45" s="22"/>
      <c r="B45" s="22" t="s">
        <v>143</v>
      </c>
      <c r="C45" s="22" t="s">
        <v>102</v>
      </c>
      <c r="D45" s="22"/>
      <c r="E45" s="22"/>
      <c r="F45" s="47">
        <v>250000.0</v>
      </c>
      <c r="G45" s="49"/>
      <c r="H45" s="49"/>
      <c r="I45" s="49"/>
      <c r="J45" s="49"/>
    </row>
    <row r="46">
      <c r="A46" s="22"/>
      <c r="B46" s="81" t="s">
        <v>148</v>
      </c>
      <c r="C46" s="22" t="s">
        <v>128</v>
      </c>
      <c r="D46" s="22"/>
      <c r="E46" s="22"/>
      <c r="F46" s="22"/>
      <c r="G46" s="49"/>
      <c r="H46" s="49"/>
      <c r="I46" s="49"/>
      <c r="J46" s="49"/>
    </row>
    <row r="47">
      <c r="A47" s="22"/>
      <c r="B47" s="22"/>
      <c r="C47" s="22"/>
      <c r="D47" s="22"/>
      <c r="E47" s="22"/>
      <c r="F47" s="22"/>
      <c r="G47" s="49"/>
      <c r="H47" s="49"/>
      <c r="I47" s="49"/>
      <c r="J47" s="49"/>
    </row>
    <row r="48">
      <c r="A48" s="12"/>
      <c r="B48" s="12"/>
      <c r="C48" s="12"/>
      <c r="D48" s="12"/>
      <c r="E48" s="12"/>
      <c r="F48" s="12"/>
    </row>
  </sheetData>
  <mergeCells count="9">
    <mergeCell ref="I2:I3"/>
    <mergeCell ref="J2:J3"/>
    <mergeCell ref="E1:F1"/>
    <mergeCell ref="A2:A3"/>
    <mergeCell ref="B2:B3"/>
    <mergeCell ref="C2:C3"/>
    <mergeCell ref="D2:D3"/>
    <mergeCell ref="E2:F2"/>
    <mergeCell ref="G2:G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7" t="s">
        <v>1</v>
      </c>
      <c r="C1" s="10" t="s">
        <v>12</v>
      </c>
      <c r="D1" s="12"/>
      <c r="E1" s="12"/>
    </row>
    <row r="2">
      <c r="A2" s="17"/>
      <c r="B2" s="7" t="s">
        <v>21</v>
      </c>
      <c r="C2" s="7" t="s">
        <v>22</v>
      </c>
      <c r="D2" s="7" t="s">
        <v>25</v>
      </c>
      <c r="E2" s="7" t="s">
        <v>22</v>
      </c>
    </row>
    <row r="3">
      <c r="A3" s="22" t="s">
        <v>17</v>
      </c>
      <c r="B3" s="23">
        <v>1.1E8</v>
      </c>
      <c r="C3" s="24">
        <v>1.0</v>
      </c>
      <c r="D3" s="23">
        <v>7.061624E7</v>
      </c>
      <c r="E3" s="24">
        <f t="shared" ref="E3:E4" si="1">D3/B3</f>
        <v>0.6419658182</v>
      </c>
    </row>
    <row r="4">
      <c r="A4" s="22" t="s">
        <v>19</v>
      </c>
      <c r="B4" s="23">
        <v>1.1E8</v>
      </c>
      <c r="C4" s="24">
        <v>1.0</v>
      </c>
      <c r="D4" s="23">
        <v>5.7667983E7</v>
      </c>
      <c r="E4" s="24">
        <f t="shared" si="1"/>
        <v>0.5242543909</v>
      </c>
    </row>
    <row r="5">
      <c r="A5" s="32" t="s">
        <v>57</v>
      </c>
      <c r="B5" s="33"/>
      <c r="C5" s="35"/>
      <c r="D5" s="33"/>
      <c r="E5" s="37"/>
    </row>
    <row r="6">
      <c r="A6" s="22" t="s">
        <v>60</v>
      </c>
      <c r="B6" s="23">
        <v>3000000.0</v>
      </c>
      <c r="C6" s="24">
        <f>B6/B4</f>
        <v>0.02727272727</v>
      </c>
      <c r="D6" s="23"/>
      <c r="E6" s="24">
        <f>D6/D4</f>
        <v>0</v>
      </c>
    </row>
    <row r="7">
      <c r="A7" s="32" t="s">
        <v>65</v>
      </c>
      <c r="B7" s="33"/>
      <c r="C7" s="35"/>
      <c r="D7" s="33"/>
      <c r="E7" s="37"/>
    </row>
    <row r="8">
      <c r="A8" s="22" t="s">
        <v>71</v>
      </c>
      <c r="B8" s="23">
        <f>B4*C8</f>
        <v>25245000</v>
      </c>
      <c r="C8" s="24">
        <v>0.2295</v>
      </c>
      <c r="D8" s="23">
        <v>9701546.0</v>
      </c>
      <c r="E8" s="24">
        <f>D8/D4</f>
        <v>0.1682310616</v>
      </c>
    </row>
    <row r="9">
      <c r="A9" s="22" t="s">
        <v>76</v>
      </c>
      <c r="B9" s="23">
        <f>B4*C9</f>
        <v>22176000</v>
      </c>
      <c r="C9" s="24">
        <v>0.2016</v>
      </c>
      <c r="D9" s="23">
        <f>D4*E9</f>
        <v>8557928.677</v>
      </c>
      <c r="E9" s="24">
        <v>0.1484</v>
      </c>
    </row>
    <row r="10">
      <c r="A10" s="22" t="s">
        <v>81</v>
      </c>
      <c r="B10" s="23">
        <v>900000.0</v>
      </c>
      <c r="C10" s="24">
        <f>B10/B4</f>
        <v>0.008181818182</v>
      </c>
      <c r="D10" s="23">
        <f>D4*E10</f>
        <v>6695252.826</v>
      </c>
      <c r="E10" s="24">
        <v>0.1161</v>
      </c>
    </row>
    <row r="11">
      <c r="A11" s="22" t="s">
        <v>86</v>
      </c>
      <c r="B11" s="23">
        <v>1963750.0</v>
      </c>
      <c r="C11" s="24">
        <f>B11/B4</f>
        <v>0.01785227273</v>
      </c>
      <c r="D11" s="23">
        <v>968750.0</v>
      </c>
      <c r="E11" s="24">
        <f>D11/D4</f>
        <v>0.01679874949</v>
      </c>
    </row>
    <row r="12">
      <c r="A12" s="22" t="s">
        <v>89</v>
      </c>
      <c r="B12" s="23">
        <v>3.6666666667E7</v>
      </c>
      <c r="C12" s="24">
        <f>B12/B4</f>
        <v>0.3333333333</v>
      </c>
      <c r="D12" s="23">
        <v>2.2137302E7</v>
      </c>
      <c r="E12" s="24">
        <f>D12/D4</f>
        <v>0.3838750872</v>
      </c>
    </row>
    <row r="13">
      <c r="A13" s="22" t="s">
        <v>95</v>
      </c>
      <c r="B13" s="23">
        <v>1650000.0</v>
      </c>
      <c r="C13" s="24">
        <f>B13/B4</f>
        <v>0.015</v>
      </c>
      <c r="D13" s="55"/>
      <c r="E13" s="22"/>
    </row>
    <row r="14">
      <c r="A14" s="22" t="s">
        <v>97</v>
      </c>
      <c r="B14" s="23">
        <f>C14*B4</f>
        <v>11000000</v>
      </c>
      <c r="C14" s="24">
        <v>0.1</v>
      </c>
      <c r="D14" s="23">
        <v>5751280.0</v>
      </c>
      <c r="E14" s="24">
        <f>D14/D4</f>
        <v>0.09973090267</v>
      </c>
    </row>
    <row r="15">
      <c r="A15" s="56" t="s">
        <v>100</v>
      </c>
      <c r="B15" s="56"/>
      <c r="C15" s="56"/>
      <c r="D15" s="57">
        <v>708150.0</v>
      </c>
      <c r="E15" s="56"/>
    </row>
    <row r="16">
      <c r="A16" s="58" t="s">
        <v>103</v>
      </c>
      <c r="B16" s="59">
        <f>SUM(B6:B14)</f>
        <v>102601416.7</v>
      </c>
      <c r="C16" s="60">
        <f>B16/B4</f>
        <v>0.9327401515</v>
      </c>
      <c r="D16" s="59">
        <f>D6+D8+D9+D10+D11+D12+D14-D15</f>
        <v>53103909.5</v>
      </c>
      <c r="E16" s="60">
        <f>E6+E8+E9+E10+E11+E12+E14</f>
        <v>0.9331358009</v>
      </c>
    </row>
    <row r="17">
      <c r="A17" s="58" t="s">
        <v>109</v>
      </c>
      <c r="B17" s="59">
        <f>B4-B16</f>
        <v>7398583.333</v>
      </c>
      <c r="C17" s="60">
        <f>B17/B4</f>
        <v>0.06725984848</v>
      </c>
      <c r="D17" s="59">
        <f>D4-D16</f>
        <v>4564073.497</v>
      </c>
      <c r="E17" s="60">
        <f>D17/D4</f>
        <v>0.07914397659</v>
      </c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</cols>
  <sheetData>
    <row r="1">
      <c r="A1" s="61" t="s">
        <v>110</v>
      </c>
      <c r="B1" s="61" t="s">
        <v>111</v>
      </c>
    </row>
    <row r="2">
      <c r="A2" s="62">
        <v>46205.0</v>
      </c>
      <c r="B2" s="5">
        <v>5900000.0</v>
      </c>
    </row>
    <row r="3">
      <c r="A3" s="62">
        <v>46206.0</v>
      </c>
      <c r="B3" s="5">
        <v>1753959.0</v>
      </c>
    </row>
    <row r="4">
      <c r="A4" s="62">
        <v>46207.0</v>
      </c>
      <c r="B4" s="5">
        <v>7215000.0</v>
      </c>
    </row>
    <row r="5">
      <c r="A5" s="62">
        <v>46208.0</v>
      </c>
      <c r="B5" s="5">
        <v>6000000.0</v>
      </c>
    </row>
    <row r="6">
      <c r="A6" s="62">
        <v>46209.0</v>
      </c>
      <c r="B6" s="5">
        <v>4740000.0</v>
      </c>
    </row>
    <row r="7">
      <c r="A7" s="62">
        <v>46210.0</v>
      </c>
      <c r="B7" s="5">
        <v>3885000.0</v>
      </c>
    </row>
    <row r="8">
      <c r="A8" s="62">
        <v>46211.0</v>
      </c>
      <c r="B8" s="5">
        <v>4440000.0</v>
      </c>
    </row>
    <row r="9">
      <c r="A9" s="62">
        <v>46213.0</v>
      </c>
      <c r="B9" s="5">
        <v>1.0506457E7</v>
      </c>
    </row>
    <row r="10">
      <c r="A10" s="62">
        <v>46214.0</v>
      </c>
      <c r="B10" s="5">
        <v>6131646.0</v>
      </c>
    </row>
    <row r="11">
      <c r="A11" s="62">
        <v>46217.0</v>
      </c>
      <c r="B11" s="5">
        <v>1.4397398E7</v>
      </c>
    </row>
    <row r="12">
      <c r="A12" s="62">
        <v>46218.0</v>
      </c>
      <c r="B12" s="5">
        <v>4749367.0</v>
      </c>
    </row>
    <row r="13">
      <c r="B13" s="63"/>
    </row>
    <row r="14">
      <c r="B14" s="63"/>
    </row>
    <row r="15">
      <c r="B15" s="63"/>
    </row>
    <row r="16">
      <c r="B16" s="63"/>
    </row>
    <row r="17">
      <c r="B17" s="63"/>
    </row>
    <row r="18">
      <c r="B18" s="63"/>
    </row>
    <row r="19">
      <c r="B19" s="63"/>
    </row>
    <row r="20">
      <c r="B20" s="63"/>
    </row>
    <row r="21">
      <c r="B21" s="63"/>
    </row>
    <row r="22">
      <c r="B22" s="63"/>
    </row>
    <row r="23">
      <c r="B23" s="63"/>
    </row>
    <row r="24">
      <c r="B24" s="63"/>
    </row>
    <row r="25">
      <c r="B25" s="63"/>
    </row>
    <row r="26">
      <c r="B26" s="63"/>
    </row>
    <row r="27">
      <c r="B27" s="63"/>
    </row>
    <row r="28">
      <c r="B28" s="63"/>
    </row>
    <row r="29">
      <c r="B29" s="63"/>
    </row>
    <row r="30">
      <c r="B30" s="63"/>
    </row>
    <row r="31">
      <c r="B31" s="63"/>
    </row>
    <row r="32">
      <c r="B32" s="63"/>
    </row>
    <row r="33">
      <c r="B33" s="63"/>
    </row>
    <row r="34">
      <c r="B34" s="63"/>
    </row>
    <row r="35">
      <c r="B35" s="63"/>
    </row>
    <row r="36">
      <c r="B36" s="63"/>
    </row>
    <row r="37">
      <c r="B37" s="63"/>
    </row>
    <row r="38">
      <c r="B38" s="63"/>
    </row>
    <row r="39">
      <c r="B39" s="63"/>
    </row>
    <row r="40">
      <c r="B40" s="63"/>
    </row>
    <row r="41">
      <c r="B41" s="63"/>
    </row>
    <row r="42">
      <c r="B42" s="63"/>
    </row>
    <row r="43">
      <c r="B43" s="63"/>
    </row>
    <row r="44">
      <c r="B44" s="63"/>
    </row>
    <row r="45">
      <c r="B45" s="63"/>
    </row>
    <row r="46">
      <c r="B46" s="63"/>
    </row>
    <row r="47">
      <c r="B47" s="63"/>
    </row>
    <row r="48">
      <c r="B48" s="63"/>
    </row>
    <row r="49">
      <c r="B49" s="63"/>
    </row>
    <row r="50">
      <c r="B50" s="63"/>
    </row>
    <row r="51">
      <c r="B51" s="63"/>
    </row>
    <row r="52">
      <c r="B52" s="63"/>
    </row>
    <row r="53">
      <c r="B53" s="63"/>
    </row>
    <row r="54">
      <c r="B54" s="63"/>
    </row>
    <row r="55">
      <c r="B55" s="63"/>
    </row>
    <row r="56">
      <c r="B56" s="63"/>
    </row>
    <row r="57">
      <c r="B57" s="63"/>
    </row>
    <row r="58">
      <c r="B58" s="63"/>
    </row>
    <row r="59">
      <c r="B59" s="63"/>
    </row>
    <row r="60">
      <c r="B60" s="63"/>
    </row>
    <row r="61">
      <c r="B61" s="63"/>
    </row>
    <row r="62">
      <c r="B62" s="63"/>
    </row>
    <row r="63">
      <c r="B63" s="63"/>
    </row>
    <row r="64">
      <c r="B64" s="63"/>
    </row>
    <row r="65">
      <c r="B65" s="63"/>
    </row>
    <row r="66">
      <c r="B66" s="63"/>
    </row>
    <row r="67">
      <c r="B67" s="63"/>
    </row>
    <row r="68">
      <c r="B68" s="63"/>
    </row>
    <row r="69">
      <c r="B69" s="63"/>
    </row>
    <row r="70">
      <c r="B70" s="63"/>
    </row>
    <row r="71">
      <c r="B71" s="63"/>
    </row>
    <row r="72">
      <c r="B72" s="63"/>
    </row>
    <row r="73">
      <c r="B73" s="63"/>
    </row>
    <row r="74">
      <c r="B74" s="63"/>
    </row>
    <row r="75">
      <c r="B75" s="63"/>
    </row>
    <row r="76">
      <c r="B76" s="63"/>
    </row>
    <row r="77">
      <c r="B77" s="63"/>
    </row>
    <row r="78">
      <c r="B78" s="63"/>
    </row>
    <row r="79">
      <c r="B79" s="63"/>
    </row>
    <row r="80">
      <c r="B80" s="63"/>
    </row>
    <row r="81">
      <c r="B81" s="63"/>
    </row>
    <row r="82">
      <c r="B82" s="63"/>
    </row>
    <row r="83">
      <c r="B83" s="63"/>
    </row>
    <row r="84">
      <c r="B84" s="63"/>
    </row>
    <row r="85">
      <c r="B85" s="63"/>
    </row>
    <row r="86">
      <c r="B86" s="63"/>
    </row>
    <row r="87">
      <c r="B87" s="63"/>
    </row>
    <row r="88">
      <c r="B88" s="63"/>
    </row>
    <row r="89">
      <c r="B89" s="63"/>
    </row>
    <row r="90">
      <c r="B90" s="63"/>
    </row>
    <row r="91">
      <c r="B91" s="63"/>
    </row>
    <row r="92">
      <c r="B92" s="63"/>
    </row>
    <row r="93">
      <c r="B93" s="63"/>
    </row>
    <row r="94">
      <c r="B94" s="63"/>
    </row>
    <row r="95">
      <c r="B95" s="63"/>
    </row>
    <row r="96">
      <c r="B96" s="63"/>
    </row>
    <row r="97">
      <c r="B97" s="63"/>
    </row>
    <row r="98">
      <c r="B98" s="63"/>
    </row>
    <row r="99">
      <c r="B99" s="63"/>
    </row>
    <row r="100">
      <c r="B100" s="63"/>
    </row>
    <row r="101">
      <c r="B101" s="63"/>
    </row>
    <row r="102">
      <c r="B102" s="63"/>
    </row>
    <row r="103">
      <c r="B103" s="63"/>
    </row>
    <row r="104">
      <c r="B104" s="63"/>
    </row>
    <row r="105">
      <c r="B105" s="63"/>
    </row>
    <row r="106">
      <c r="B106" s="63"/>
    </row>
    <row r="107">
      <c r="B107" s="63"/>
    </row>
    <row r="108">
      <c r="B108" s="63"/>
    </row>
    <row r="109">
      <c r="B109" s="63"/>
    </row>
    <row r="110">
      <c r="B110" s="63"/>
    </row>
    <row r="111">
      <c r="B111" s="63"/>
    </row>
    <row r="112">
      <c r="B112" s="63"/>
    </row>
    <row r="113">
      <c r="B113" s="63"/>
    </row>
    <row r="114">
      <c r="B114" s="63"/>
    </row>
    <row r="115">
      <c r="B115" s="63"/>
    </row>
    <row r="116">
      <c r="B116" s="63"/>
    </row>
    <row r="117">
      <c r="B117" s="63"/>
    </row>
    <row r="118">
      <c r="B118" s="63"/>
    </row>
    <row r="119">
      <c r="B119" s="63"/>
    </row>
    <row r="120">
      <c r="B120" s="63"/>
    </row>
    <row r="121">
      <c r="B121" s="63"/>
    </row>
    <row r="122">
      <c r="B122" s="63"/>
    </row>
    <row r="123">
      <c r="B123" s="63"/>
    </row>
    <row r="124">
      <c r="B124" s="63"/>
    </row>
    <row r="125">
      <c r="B125" s="63"/>
    </row>
    <row r="126">
      <c r="B126" s="63"/>
    </row>
    <row r="127">
      <c r="B127" s="63"/>
    </row>
    <row r="128">
      <c r="B128" s="63"/>
    </row>
    <row r="129">
      <c r="B129" s="63"/>
    </row>
    <row r="130">
      <c r="B130" s="63"/>
    </row>
    <row r="131">
      <c r="B131" s="63"/>
    </row>
    <row r="132">
      <c r="B132" s="63"/>
    </row>
    <row r="133">
      <c r="B133" s="63"/>
    </row>
    <row r="134">
      <c r="B134" s="63"/>
    </row>
    <row r="135">
      <c r="B135" s="63"/>
    </row>
    <row r="136">
      <c r="B136" s="63"/>
    </row>
    <row r="137">
      <c r="B137" s="63"/>
    </row>
    <row r="138">
      <c r="B138" s="63"/>
    </row>
    <row r="139">
      <c r="B139" s="63"/>
    </row>
    <row r="140">
      <c r="B140" s="63"/>
    </row>
    <row r="141">
      <c r="B141" s="63"/>
    </row>
    <row r="142">
      <c r="B142" s="63"/>
    </row>
    <row r="143">
      <c r="B143" s="63"/>
    </row>
    <row r="144">
      <c r="B144" s="63"/>
    </row>
    <row r="145">
      <c r="B145" s="63"/>
    </row>
    <row r="146">
      <c r="B146" s="63"/>
    </row>
    <row r="147">
      <c r="B147" s="63"/>
    </row>
    <row r="148">
      <c r="B148" s="63"/>
    </row>
    <row r="149">
      <c r="B149" s="63"/>
    </row>
    <row r="150">
      <c r="B150" s="63"/>
    </row>
    <row r="151">
      <c r="B151" s="63"/>
    </row>
    <row r="152">
      <c r="B152" s="63"/>
    </row>
    <row r="153">
      <c r="B153" s="63"/>
    </row>
    <row r="154">
      <c r="B154" s="63"/>
    </row>
    <row r="155">
      <c r="B155" s="63"/>
    </row>
    <row r="156">
      <c r="B156" s="63"/>
    </row>
    <row r="157">
      <c r="B157" s="63"/>
    </row>
    <row r="158">
      <c r="B158" s="63"/>
    </row>
    <row r="159">
      <c r="B159" s="63"/>
    </row>
    <row r="160">
      <c r="B160" s="63"/>
    </row>
    <row r="161">
      <c r="B161" s="63"/>
    </row>
    <row r="162">
      <c r="B162" s="63"/>
    </row>
    <row r="163">
      <c r="B163" s="63"/>
    </row>
    <row r="164">
      <c r="B164" s="63"/>
    </row>
    <row r="165">
      <c r="B165" s="63"/>
    </row>
    <row r="166">
      <c r="B166" s="63"/>
    </row>
    <row r="167">
      <c r="B167" s="63"/>
    </row>
    <row r="168">
      <c r="B168" s="63"/>
    </row>
    <row r="169">
      <c r="B169" s="63"/>
    </row>
    <row r="170">
      <c r="B170" s="63"/>
    </row>
    <row r="171">
      <c r="B171" s="63"/>
    </row>
    <row r="172">
      <c r="B172" s="63"/>
    </row>
    <row r="173">
      <c r="B173" s="63"/>
    </row>
    <row r="174">
      <c r="B174" s="63"/>
    </row>
    <row r="175">
      <c r="B175" s="63"/>
    </row>
    <row r="176">
      <c r="B176" s="63"/>
    </row>
    <row r="177">
      <c r="B177" s="63"/>
    </row>
    <row r="178">
      <c r="B178" s="63"/>
    </row>
    <row r="179">
      <c r="B179" s="63"/>
    </row>
    <row r="180">
      <c r="B180" s="63"/>
    </row>
    <row r="181">
      <c r="B181" s="63"/>
    </row>
    <row r="182">
      <c r="B182" s="63"/>
    </row>
    <row r="183">
      <c r="B183" s="63"/>
    </row>
    <row r="184">
      <c r="B184" s="63"/>
    </row>
    <row r="185">
      <c r="B185" s="63"/>
    </row>
    <row r="186">
      <c r="B186" s="63"/>
    </row>
    <row r="187">
      <c r="B187" s="63"/>
    </row>
    <row r="188">
      <c r="B188" s="63"/>
    </row>
    <row r="189">
      <c r="B189" s="63"/>
    </row>
    <row r="190">
      <c r="B190" s="63"/>
    </row>
    <row r="191">
      <c r="B191" s="63"/>
    </row>
    <row r="192">
      <c r="B192" s="63"/>
    </row>
    <row r="193">
      <c r="B193" s="63"/>
    </row>
    <row r="194">
      <c r="B194" s="6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65" t="s">
        <v>110</v>
      </c>
      <c r="B1" s="65" t="s">
        <v>119</v>
      </c>
      <c r="C1" s="10"/>
      <c r="D1" s="12"/>
      <c r="E1" s="12"/>
    </row>
    <row r="2">
      <c r="A2" s="66">
        <v>46204.0</v>
      </c>
      <c r="B2" s="67">
        <v>2027500.0</v>
      </c>
      <c r="C2" s="68"/>
      <c r="D2" s="69"/>
      <c r="E2" s="68"/>
    </row>
    <row r="3">
      <c r="A3" s="70">
        <v>46205.0</v>
      </c>
      <c r="B3" s="71">
        <v>1435500.0</v>
      </c>
      <c r="C3" s="72"/>
      <c r="D3" s="73"/>
      <c r="E3" s="72"/>
    </row>
    <row r="4">
      <c r="A4" s="70">
        <v>46206.0</v>
      </c>
      <c r="B4" s="71">
        <v>1720500.0</v>
      </c>
      <c r="C4" s="72"/>
      <c r="D4" s="73"/>
      <c r="E4" s="72"/>
    </row>
    <row r="5">
      <c r="A5" s="75">
        <v>46207.0</v>
      </c>
      <c r="B5" s="71">
        <v>1611000.0</v>
      </c>
      <c r="C5" s="76"/>
      <c r="D5" s="77"/>
      <c r="E5" s="78"/>
    </row>
    <row r="6">
      <c r="A6" s="70">
        <v>46209.0</v>
      </c>
      <c r="B6" s="71">
        <v>3766500.0</v>
      </c>
      <c r="C6" s="72"/>
      <c r="D6" s="73"/>
      <c r="E6" s="72"/>
    </row>
    <row r="7">
      <c r="A7" s="75">
        <v>46210.0</v>
      </c>
      <c r="B7" s="71">
        <v>2324000.0</v>
      </c>
      <c r="C7" s="76"/>
      <c r="D7" s="77"/>
      <c r="E7" s="78"/>
    </row>
    <row r="8">
      <c r="A8" s="70">
        <v>46211.0</v>
      </c>
      <c r="B8" s="71">
        <v>1965000.0</v>
      </c>
      <c r="C8" s="72"/>
      <c r="D8" s="73"/>
      <c r="E8" s="72"/>
    </row>
    <row r="9">
      <c r="A9" s="78"/>
      <c r="B9" s="73"/>
      <c r="C9" s="72"/>
      <c r="D9" s="73"/>
      <c r="E9" s="72"/>
    </row>
    <row r="10">
      <c r="A10" s="78"/>
      <c r="B10" s="73"/>
      <c r="C10" s="72"/>
      <c r="D10" s="73"/>
      <c r="E10" s="72"/>
    </row>
    <row r="11">
      <c r="A11" s="78"/>
      <c r="B11" s="73"/>
      <c r="C11" s="72"/>
      <c r="D11" s="73"/>
      <c r="E11" s="72"/>
    </row>
    <row r="12">
      <c r="A12" s="78"/>
      <c r="B12" s="73"/>
      <c r="C12" s="72"/>
      <c r="D12" s="73"/>
      <c r="E12" s="72"/>
    </row>
    <row r="13">
      <c r="A13" s="78"/>
      <c r="B13" s="73"/>
      <c r="C13" s="72"/>
      <c r="D13" s="79"/>
      <c r="E13" s="78"/>
    </row>
    <row r="14">
      <c r="A14" s="78"/>
      <c r="B14" s="73"/>
      <c r="C14" s="72"/>
      <c r="D14" s="73"/>
      <c r="E14" s="72"/>
    </row>
    <row r="15">
      <c r="A15" s="78"/>
      <c r="B15" s="77"/>
      <c r="C15" s="78"/>
      <c r="D15" s="73"/>
      <c r="E15" s="78"/>
    </row>
    <row r="16">
      <c r="A16" s="80"/>
      <c r="B16" s="73"/>
      <c r="C16" s="72"/>
      <c r="D16" s="73"/>
      <c r="E16" s="72"/>
    </row>
    <row r="17">
      <c r="A17" s="80"/>
      <c r="B17" s="73"/>
      <c r="C17" s="72"/>
      <c r="D17" s="73"/>
      <c r="E17" s="72"/>
    </row>
    <row r="18">
      <c r="B18" s="63"/>
    </row>
    <row r="19">
      <c r="B19" s="63"/>
    </row>
    <row r="20">
      <c r="B20" s="63"/>
    </row>
    <row r="21">
      <c r="B21" s="63"/>
    </row>
    <row r="22">
      <c r="B22" s="63"/>
    </row>
    <row r="23">
      <c r="B23" s="63"/>
    </row>
    <row r="24">
      <c r="B24" s="63"/>
    </row>
    <row r="25">
      <c r="B25" s="63"/>
    </row>
    <row r="26">
      <c r="B26" s="63"/>
    </row>
    <row r="27">
      <c r="B27" s="63"/>
    </row>
    <row r="28">
      <c r="B28" s="63"/>
    </row>
    <row r="29">
      <c r="B29" s="63"/>
    </row>
    <row r="30">
      <c r="B30" s="63"/>
    </row>
    <row r="31">
      <c r="B31" s="63"/>
    </row>
    <row r="32">
      <c r="B32" s="63"/>
    </row>
    <row r="33">
      <c r="B33" s="63"/>
    </row>
    <row r="34">
      <c r="B34" s="63"/>
    </row>
    <row r="35">
      <c r="B35" s="63"/>
    </row>
    <row r="36">
      <c r="B36" s="63"/>
    </row>
    <row r="37">
      <c r="B37" s="63"/>
    </row>
    <row r="38">
      <c r="B38" s="63"/>
    </row>
    <row r="39">
      <c r="B39" s="63"/>
    </row>
    <row r="40">
      <c r="B40" s="63"/>
    </row>
    <row r="41">
      <c r="B41" s="63"/>
    </row>
    <row r="42">
      <c r="B42" s="63"/>
    </row>
    <row r="43">
      <c r="B43" s="63"/>
    </row>
    <row r="44">
      <c r="B44" s="63"/>
    </row>
    <row r="45">
      <c r="B45" s="63"/>
    </row>
    <row r="46">
      <c r="B46" s="63"/>
    </row>
    <row r="47">
      <c r="B47" s="63"/>
    </row>
    <row r="48">
      <c r="B48" s="63"/>
    </row>
    <row r="49">
      <c r="B49" s="63"/>
    </row>
    <row r="50">
      <c r="B50" s="63"/>
    </row>
    <row r="51">
      <c r="B51" s="63"/>
    </row>
    <row r="52">
      <c r="B52" s="63"/>
    </row>
    <row r="53">
      <c r="B53" s="63"/>
    </row>
    <row r="54">
      <c r="B54" s="63"/>
    </row>
    <row r="55">
      <c r="B55" s="63"/>
    </row>
    <row r="56">
      <c r="B56" s="63"/>
    </row>
    <row r="57">
      <c r="B57" s="63"/>
    </row>
    <row r="58">
      <c r="B58" s="63"/>
    </row>
    <row r="59">
      <c r="B59" s="63"/>
    </row>
    <row r="60">
      <c r="B60" s="63"/>
    </row>
    <row r="61">
      <c r="B61" s="63"/>
    </row>
    <row r="62">
      <c r="B62" s="63"/>
    </row>
    <row r="63">
      <c r="B63" s="63"/>
    </row>
    <row r="64">
      <c r="B64" s="63"/>
    </row>
    <row r="65">
      <c r="B65" s="63"/>
    </row>
    <row r="66">
      <c r="B66" s="63"/>
    </row>
    <row r="67">
      <c r="B67" s="63"/>
    </row>
    <row r="68">
      <c r="B68" s="63"/>
    </row>
    <row r="69">
      <c r="B69" s="63"/>
    </row>
    <row r="70">
      <c r="B70" s="63"/>
    </row>
    <row r="71">
      <c r="B71" s="63"/>
    </row>
    <row r="72">
      <c r="B72" s="63"/>
    </row>
    <row r="73">
      <c r="B73" s="63"/>
    </row>
    <row r="74">
      <c r="B74" s="6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</cols>
  <sheetData>
    <row r="1">
      <c r="A1" s="83" t="s">
        <v>138</v>
      </c>
      <c r="B1" s="83" t="s">
        <v>139</v>
      </c>
      <c r="C1" s="83" t="s">
        <v>140</v>
      </c>
      <c r="D1" s="83" t="s">
        <v>141</v>
      </c>
    </row>
    <row r="2">
      <c r="A2" s="12" t="s">
        <v>142</v>
      </c>
      <c r="B2" s="12" t="s">
        <v>144</v>
      </c>
      <c r="C2" s="12"/>
      <c r="D2" s="12"/>
    </row>
    <row r="3">
      <c r="A3" s="12" t="s">
        <v>145</v>
      </c>
      <c r="B3" s="12" t="s">
        <v>144</v>
      </c>
      <c r="C3" s="84"/>
      <c r="D3" s="12"/>
    </row>
    <row r="4">
      <c r="A4" s="12" t="s">
        <v>146</v>
      </c>
      <c r="B4" s="12" t="s">
        <v>144</v>
      </c>
      <c r="C4" s="12"/>
      <c r="D4" s="12"/>
    </row>
    <row r="5">
      <c r="A5" s="12" t="s">
        <v>147</v>
      </c>
      <c r="B5" s="12" t="s">
        <v>144</v>
      </c>
      <c r="C5" s="12"/>
      <c r="D5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5" t="s">
        <v>110</v>
      </c>
      <c r="B1" s="85" t="s">
        <v>149</v>
      </c>
      <c r="C1" s="85" t="s">
        <v>150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25"/>
    <col customWidth="1" min="2" max="3" width="16.0"/>
    <col customWidth="1" min="4" max="4" width="15.5"/>
    <col customWidth="1" min="6" max="6" width="18.13"/>
    <col customWidth="1" min="7" max="7" width="16.13"/>
    <col customWidth="1" min="8" max="8" width="13.0"/>
    <col customWidth="1" min="9" max="9" width="15.13"/>
    <col customWidth="1" min="10" max="10" width="16.13"/>
    <col customWidth="1" min="11" max="11" width="17.75"/>
    <col customWidth="1" min="12" max="12" width="13.13"/>
    <col customWidth="1" min="13" max="13" width="14.38"/>
    <col customWidth="1" min="14" max="14" width="16.75"/>
    <col customWidth="1" min="15" max="15" width="6.5"/>
  </cols>
  <sheetData>
    <row r="1">
      <c r="A1" s="86">
        <v>46204.0</v>
      </c>
      <c r="E1" s="3">
        <v>0.16</v>
      </c>
      <c r="F1" s="5">
        <v>1250.0</v>
      </c>
      <c r="I1" s="8">
        <v>0.0899</v>
      </c>
      <c r="J1" s="3">
        <v>0.09</v>
      </c>
      <c r="K1" s="8">
        <v>0.1682</v>
      </c>
    </row>
    <row r="2">
      <c r="A2" s="13" t="s">
        <v>16</v>
      </c>
      <c r="B2" s="13" t="s">
        <v>17</v>
      </c>
      <c r="C2" s="13" t="s">
        <v>19</v>
      </c>
      <c r="D2" s="13" t="s">
        <v>20</v>
      </c>
      <c r="E2" s="13" t="s">
        <v>24</v>
      </c>
      <c r="F2" s="13" t="s">
        <v>27</v>
      </c>
      <c r="G2" s="13" t="s">
        <v>29</v>
      </c>
      <c r="H2" s="13" t="s">
        <v>30</v>
      </c>
      <c r="I2" s="13" t="s">
        <v>32</v>
      </c>
      <c r="J2" s="13" t="s">
        <v>35</v>
      </c>
      <c r="K2" s="13" t="s">
        <v>36</v>
      </c>
      <c r="L2" s="13" t="s">
        <v>38</v>
      </c>
      <c r="M2" s="13" t="s">
        <v>40</v>
      </c>
      <c r="N2" s="13" t="s">
        <v>43</v>
      </c>
      <c r="O2" s="13" t="s">
        <v>44</v>
      </c>
    </row>
    <row r="3">
      <c r="A3" s="26">
        <v>1.0</v>
      </c>
      <c r="B3" s="28">
        <v>5180985.0</v>
      </c>
      <c r="C3" s="28">
        <v>4572841.0</v>
      </c>
      <c r="D3" s="29">
        <v>67.0</v>
      </c>
      <c r="E3" s="31">
        <f t="shared" ref="E3:F3" si="1">C3*E1</f>
        <v>731654.56</v>
      </c>
      <c r="F3" s="31">
        <f t="shared" si="1"/>
        <v>83750</v>
      </c>
      <c r="G3" s="31"/>
      <c r="H3" s="28">
        <v>1981343.0</v>
      </c>
      <c r="I3" s="31">
        <f>C3*I1</f>
        <v>411098.4059</v>
      </c>
      <c r="J3" s="31">
        <f>C3*J1</f>
        <v>411555.69</v>
      </c>
      <c r="K3" s="31">
        <f>C3*K1</f>
        <v>769151.8562</v>
      </c>
      <c r="L3" s="31">
        <f t="shared" ref="L3:L15" si="3">E3+F3+H3+I3+J3+K3</f>
        <v>4388553.512</v>
      </c>
      <c r="M3" s="31">
        <f t="shared" ref="M3:M15" si="4">C3-L3</f>
        <v>184287.4879</v>
      </c>
      <c r="N3" s="42">
        <f t="shared" ref="N3:N15" si="5">M3/L3</f>
        <v>0.04199276308</v>
      </c>
      <c r="O3" s="44" t="s">
        <v>68</v>
      </c>
    </row>
    <row r="4">
      <c r="A4" s="26">
        <v>2.0</v>
      </c>
      <c r="B4" s="28">
        <v>9595393.0</v>
      </c>
      <c r="C4" s="28">
        <v>7687731.0</v>
      </c>
      <c r="D4" s="29">
        <v>106.0</v>
      </c>
      <c r="E4" s="31">
        <f t="shared" ref="E4:F4" si="2">C4*E1</f>
        <v>1230036.96</v>
      </c>
      <c r="F4" s="31">
        <f t="shared" si="2"/>
        <v>132500</v>
      </c>
      <c r="G4" s="31"/>
      <c r="H4" s="28">
        <v>3193374.0</v>
      </c>
      <c r="I4" s="31">
        <f>C4*I1</f>
        <v>691127.0169</v>
      </c>
      <c r="J4" s="31">
        <f>C4*J1</f>
        <v>691895.79</v>
      </c>
      <c r="K4" s="31">
        <f>C4*K1</f>
        <v>1293076.354</v>
      </c>
      <c r="L4" s="31">
        <f t="shared" si="3"/>
        <v>7232010.121</v>
      </c>
      <c r="M4" s="31">
        <f t="shared" si="4"/>
        <v>455720.8789</v>
      </c>
      <c r="N4" s="42">
        <f t="shared" si="5"/>
        <v>0.06301441387</v>
      </c>
      <c r="O4" s="44" t="s">
        <v>84</v>
      </c>
    </row>
    <row r="5">
      <c r="A5" s="26">
        <v>3.0</v>
      </c>
      <c r="B5" s="28">
        <v>7609031.0</v>
      </c>
      <c r="C5" s="28">
        <v>6405684.0</v>
      </c>
      <c r="D5" s="29">
        <v>90.0</v>
      </c>
      <c r="E5" s="31">
        <f t="shared" ref="E5:F5" si="6">C5*E1</f>
        <v>1024909.44</v>
      </c>
      <c r="F5" s="31">
        <f t="shared" si="6"/>
        <v>112500</v>
      </c>
      <c r="G5" s="31"/>
      <c r="H5" s="28">
        <v>2576595.0</v>
      </c>
      <c r="I5" s="31">
        <f>C5*I1</f>
        <v>575870.9916</v>
      </c>
      <c r="J5" s="31">
        <f>C5*J1</f>
        <v>576511.56</v>
      </c>
      <c r="K5" s="31">
        <f>C5*K1</f>
        <v>1077436.049</v>
      </c>
      <c r="L5" s="31">
        <f t="shared" si="3"/>
        <v>5943823.04</v>
      </c>
      <c r="M5" s="31">
        <f t="shared" si="4"/>
        <v>461860.9596</v>
      </c>
      <c r="N5" s="42">
        <f t="shared" si="5"/>
        <v>0.07770435904</v>
      </c>
      <c r="O5" s="44" t="s">
        <v>92</v>
      </c>
    </row>
    <row r="6">
      <c r="A6" s="26">
        <v>4.0</v>
      </c>
      <c r="B6" s="28">
        <v>8890778.0</v>
      </c>
      <c r="C6" s="28">
        <v>6918698.0</v>
      </c>
      <c r="D6" s="29">
        <v>90.0</v>
      </c>
      <c r="E6" s="31">
        <f t="shared" ref="E6:F6" si="7">C6*E1</f>
        <v>1106991.68</v>
      </c>
      <c r="F6" s="31">
        <f t="shared" si="7"/>
        <v>112500</v>
      </c>
      <c r="G6" s="31"/>
      <c r="H6" s="28">
        <v>3431902.0</v>
      </c>
      <c r="I6" s="31">
        <f>C6*I1</f>
        <v>621990.9502</v>
      </c>
      <c r="J6" s="31">
        <f>C6*J1</f>
        <v>622682.82</v>
      </c>
      <c r="K6" s="31">
        <f>C6*K1</f>
        <v>1163725.004</v>
      </c>
      <c r="L6" s="31">
        <f t="shared" si="3"/>
        <v>7059792.454</v>
      </c>
      <c r="M6" s="31">
        <f t="shared" si="4"/>
        <v>-141094.4538</v>
      </c>
      <c r="N6" s="42">
        <f t="shared" si="5"/>
        <v>-0.01998563764</v>
      </c>
      <c r="O6" s="44" t="s">
        <v>98</v>
      </c>
    </row>
    <row r="7">
      <c r="A7" s="26">
        <v>5.0</v>
      </c>
      <c r="B7" s="28">
        <v>1.0917802E7</v>
      </c>
      <c r="C7" s="28">
        <v>9176851.0</v>
      </c>
      <c r="D7" s="29">
        <v>129.0</v>
      </c>
      <c r="E7" s="31">
        <f t="shared" ref="E7:F7" si="8">C7*E1</f>
        <v>1468296.16</v>
      </c>
      <c r="F7" s="31">
        <f t="shared" si="8"/>
        <v>161250</v>
      </c>
      <c r="G7" s="31"/>
      <c r="H7" s="28">
        <v>3598777.0</v>
      </c>
      <c r="I7" s="31">
        <f>C7*I1</f>
        <v>824998.9049</v>
      </c>
      <c r="J7" s="31">
        <f>C7*J1</f>
        <v>825916.59</v>
      </c>
      <c r="K7" s="31">
        <f>C7*K1</f>
        <v>1543546.338</v>
      </c>
      <c r="L7" s="31">
        <f t="shared" si="3"/>
        <v>8422784.993</v>
      </c>
      <c r="M7" s="31">
        <f t="shared" si="4"/>
        <v>754066.0069</v>
      </c>
      <c r="N7" s="42">
        <f t="shared" si="5"/>
        <v>0.08952692103</v>
      </c>
      <c r="O7" s="44" t="s">
        <v>104</v>
      </c>
    </row>
    <row r="8">
      <c r="A8" s="26">
        <v>6.0</v>
      </c>
      <c r="B8" s="28">
        <v>1.0315345E7</v>
      </c>
      <c r="C8" s="28">
        <v>8976139.0</v>
      </c>
      <c r="D8" s="29">
        <v>122.0</v>
      </c>
      <c r="E8" s="31">
        <f t="shared" ref="E8:F8" si="9">C8*E1</f>
        <v>1436182.24</v>
      </c>
      <c r="F8" s="31">
        <f t="shared" si="9"/>
        <v>152500</v>
      </c>
      <c r="G8" s="31"/>
      <c r="H8" s="28">
        <v>3133519.0</v>
      </c>
      <c r="I8" s="31">
        <f>C8*I1</f>
        <v>806954.8961</v>
      </c>
      <c r="J8" s="31">
        <f>C8*J1</f>
        <v>807852.51</v>
      </c>
      <c r="K8" s="31">
        <f>C8*K1</f>
        <v>1509786.58</v>
      </c>
      <c r="L8" s="31">
        <f t="shared" si="3"/>
        <v>7846795.226</v>
      </c>
      <c r="M8" s="31">
        <f t="shared" si="4"/>
        <v>1129343.774</v>
      </c>
      <c r="N8" s="42">
        <f t="shared" si="5"/>
        <v>0.1439242062</v>
      </c>
      <c r="O8" s="44" t="s">
        <v>112</v>
      </c>
    </row>
    <row r="9">
      <c r="A9" s="26">
        <v>7.0</v>
      </c>
      <c r="B9" s="28">
        <v>8446601.0</v>
      </c>
      <c r="C9" s="28">
        <v>7446611.0</v>
      </c>
      <c r="D9" s="29">
        <v>106.0</v>
      </c>
      <c r="E9" s="31">
        <f t="shared" ref="E9:F9" si="10">C9*E1</f>
        <v>1191457.76</v>
      </c>
      <c r="F9" s="31">
        <f t="shared" si="10"/>
        <v>132500</v>
      </c>
      <c r="G9" s="31"/>
      <c r="H9" s="28">
        <v>2970175.0</v>
      </c>
      <c r="I9" s="31">
        <f>C9*I1</f>
        <v>669450.3289</v>
      </c>
      <c r="J9" s="31">
        <f>C9*J1</f>
        <v>670194.99</v>
      </c>
      <c r="K9" s="31">
        <f>C9*K1</f>
        <v>1252519.97</v>
      </c>
      <c r="L9" s="31">
        <f t="shared" si="3"/>
        <v>6886298.049</v>
      </c>
      <c r="M9" s="31">
        <f t="shared" si="4"/>
        <v>560312.9509</v>
      </c>
      <c r="N9" s="42">
        <f t="shared" si="5"/>
        <v>0.08136635198</v>
      </c>
      <c r="O9" s="44" t="s">
        <v>117</v>
      </c>
    </row>
    <row r="10">
      <c r="A10" s="26">
        <v>8.0</v>
      </c>
      <c r="B10" s="28">
        <v>5538870.0</v>
      </c>
      <c r="C10" s="28">
        <v>4660841.0</v>
      </c>
      <c r="D10" s="29">
        <v>70.0</v>
      </c>
      <c r="E10" s="31">
        <f t="shared" ref="E10:F10" si="11">C10*E1</f>
        <v>745734.56</v>
      </c>
      <c r="F10" s="31">
        <f t="shared" si="11"/>
        <v>87500</v>
      </c>
      <c r="G10" s="31"/>
      <c r="H10" s="28">
        <v>1889601.0</v>
      </c>
      <c r="I10" s="31">
        <f>C10*I1</f>
        <v>419009.6059</v>
      </c>
      <c r="J10" s="31">
        <f>C10*J1</f>
        <v>419475.69</v>
      </c>
      <c r="K10" s="31">
        <f>C10*K1</f>
        <v>783953.4562</v>
      </c>
      <c r="L10" s="31">
        <f t="shared" si="3"/>
        <v>4345274.312</v>
      </c>
      <c r="M10" s="31">
        <f t="shared" si="4"/>
        <v>315566.6879</v>
      </c>
      <c r="N10" s="42">
        <f t="shared" si="5"/>
        <v>0.07262296123</v>
      </c>
      <c r="O10" s="44" t="s">
        <v>118</v>
      </c>
    </row>
    <row r="11">
      <c r="A11" s="26">
        <v>9.0</v>
      </c>
      <c r="B11" s="28">
        <v>7540847.0</v>
      </c>
      <c r="C11" s="28">
        <v>5923916.0</v>
      </c>
      <c r="D11" s="29">
        <v>79.0</v>
      </c>
      <c r="E11" s="31">
        <f t="shared" ref="E11:F11" si="12">C11*E1</f>
        <v>947826.56</v>
      </c>
      <c r="F11" s="31">
        <f t="shared" si="12"/>
        <v>98750</v>
      </c>
      <c r="G11" s="31"/>
      <c r="H11" s="28">
        <v>2219539.0</v>
      </c>
      <c r="I11" s="31">
        <f>C11*I1</f>
        <v>532560.0484</v>
      </c>
      <c r="J11" s="31">
        <f>C11*J1</f>
        <v>533152.44</v>
      </c>
      <c r="K11" s="31">
        <f>C11*K1</f>
        <v>996402.6712</v>
      </c>
      <c r="L11" s="31">
        <f t="shared" si="3"/>
        <v>5328230.72</v>
      </c>
      <c r="M11" s="31">
        <f t="shared" si="4"/>
        <v>595685.2804</v>
      </c>
      <c r="N11" s="42">
        <f t="shared" si="5"/>
        <v>0.1117979517</v>
      </c>
      <c r="O11" s="44" t="s">
        <v>121</v>
      </c>
    </row>
    <row r="12">
      <c r="A12" s="26">
        <v>10.0</v>
      </c>
      <c r="B12" s="28">
        <v>1.0522683E7</v>
      </c>
      <c r="C12" s="28">
        <v>9358192.0</v>
      </c>
      <c r="D12" s="29">
        <v>121.0</v>
      </c>
      <c r="E12" s="31">
        <f t="shared" ref="E12:F12" si="13">C12*E1</f>
        <v>1497310.72</v>
      </c>
      <c r="F12" s="31">
        <f t="shared" si="13"/>
        <v>151250</v>
      </c>
      <c r="G12" s="31"/>
      <c r="H12" s="28">
        <v>2857851.0</v>
      </c>
      <c r="I12" s="31">
        <f>C12*I1</f>
        <v>841301.4608</v>
      </c>
      <c r="J12" s="31">
        <f>C12*J1</f>
        <v>842237.28</v>
      </c>
      <c r="K12" s="31">
        <f>C12*K1</f>
        <v>1574047.894</v>
      </c>
      <c r="L12" s="31">
        <f t="shared" si="3"/>
        <v>7763998.355</v>
      </c>
      <c r="M12" s="31">
        <f t="shared" si="4"/>
        <v>1594193.645</v>
      </c>
      <c r="N12" s="42">
        <f t="shared" si="5"/>
        <v>0.2053315279</v>
      </c>
      <c r="O12" s="44" t="s">
        <v>126</v>
      </c>
    </row>
    <row r="13">
      <c r="A13" s="26">
        <v>11.0</v>
      </c>
      <c r="B13" s="28">
        <v>9297652.0</v>
      </c>
      <c r="C13" s="28">
        <v>7600189.0</v>
      </c>
      <c r="D13" s="29">
        <v>98.0</v>
      </c>
      <c r="E13" s="31">
        <f t="shared" ref="E13:F13" si="14">C13*E1</f>
        <v>1216030.24</v>
      </c>
      <c r="F13" s="31">
        <f t="shared" si="14"/>
        <v>122500</v>
      </c>
      <c r="G13" s="31"/>
      <c r="H13" s="28">
        <v>2649669.0</v>
      </c>
      <c r="I13" s="31">
        <f>C13*I1</f>
        <v>683256.9911</v>
      </c>
      <c r="J13" s="31">
        <f>C13*J1</f>
        <v>684017.01</v>
      </c>
      <c r="K13" s="31">
        <f>C13*K1</f>
        <v>1278351.79</v>
      </c>
      <c r="L13" s="31">
        <f t="shared" si="3"/>
        <v>6633825.031</v>
      </c>
      <c r="M13" s="31">
        <f t="shared" si="4"/>
        <v>966363.9691</v>
      </c>
      <c r="N13" s="42">
        <f t="shared" si="5"/>
        <v>0.1456722124</v>
      </c>
      <c r="O13" s="44" t="s">
        <v>131</v>
      </c>
    </row>
    <row r="14">
      <c r="A14" s="26">
        <v>12.0</v>
      </c>
      <c r="B14" s="28">
        <v>4946694.0</v>
      </c>
      <c r="C14" s="28">
        <v>4214579.0</v>
      </c>
      <c r="D14" s="29">
        <v>60.0</v>
      </c>
      <c r="E14" s="31">
        <f t="shared" ref="E14:F14" si="15">C14*E1</f>
        <v>674332.64</v>
      </c>
      <c r="F14" s="31">
        <f t="shared" si="15"/>
        <v>75000</v>
      </c>
      <c r="G14" s="31"/>
      <c r="H14" s="28">
        <v>1146572.0</v>
      </c>
      <c r="I14" s="31">
        <f>C14*I1</f>
        <v>378890.6521</v>
      </c>
      <c r="J14" s="31">
        <f>C14*J1</f>
        <v>379312.11</v>
      </c>
      <c r="K14" s="31">
        <f>C14*K1</f>
        <v>708892.1878</v>
      </c>
      <c r="L14" s="31">
        <f t="shared" si="3"/>
        <v>3362999.59</v>
      </c>
      <c r="M14" s="31">
        <f t="shared" si="4"/>
        <v>851579.4101</v>
      </c>
      <c r="N14" s="42">
        <f t="shared" si="5"/>
        <v>0.2532201945</v>
      </c>
      <c r="O14" s="44" t="s">
        <v>132</v>
      </c>
    </row>
    <row r="15">
      <c r="A15" s="26">
        <v>13.0</v>
      </c>
      <c r="B15" s="28">
        <v>6683151.0</v>
      </c>
      <c r="C15" s="28">
        <v>5767914.0</v>
      </c>
      <c r="D15" s="29">
        <v>82.0</v>
      </c>
      <c r="E15" s="31">
        <f t="shared" ref="E15:F15" si="16">C15*E1</f>
        <v>922866.24</v>
      </c>
      <c r="F15" s="31">
        <f t="shared" si="16"/>
        <v>102500</v>
      </c>
      <c r="G15" s="31"/>
      <c r="H15" s="28">
        <v>1509695.0</v>
      </c>
      <c r="I15" s="31">
        <f>C15*I1</f>
        <v>518535.4686</v>
      </c>
      <c r="J15" s="31">
        <f>C15*J1</f>
        <v>519112.26</v>
      </c>
      <c r="K15" s="31">
        <f>C15*K1</f>
        <v>970163.1348</v>
      </c>
      <c r="L15" s="31">
        <f t="shared" si="3"/>
        <v>4542872.103</v>
      </c>
      <c r="M15" s="31">
        <f t="shared" si="4"/>
        <v>1225041.897</v>
      </c>
      <c r="N15" s="42">
        <f t="shared" si="5"/>
        <v>0.2696624225</v>
      </c>
      <c r="O15" s="44" t="s">
        <v>135</v>
      </c>
    </row>
    <row r="16">
      <c r="A16" s="26">
        <v>14.0</v>
      </c>
      <c r="B16" s="31"/>
      <c r="C16" s="31"/>
      <c r="D16" s="49"/>
      <c r="E16" s="49"/>
      <c r="F16" s="31"/>
      <c r="G16" s="31"/>
      <c r="H16" s="31"/>
      <c r="I16" s="31"/>
      <c r="J16" s="31"/>
      <c r="K16" s="31"/>
      <c r="L16" s="31"/>
      <c r="M16" s="31"/>
      <c r="N16" s="49"/>
      <c r="O16" s="82"/>
    </row>
    <row r="17">
      <c r="A17" s="26">
        <v>15.0</v>
      </c>
      <c r="B17" s="31"/>
      <c r="C17" s="31"/>
      <c r="D17" s="49"/>
      <c r="E17" s="49"/>
      <c r="F17" s="31"/>
      <c r="G17" s="31"/>
      <c r="H17" s="31"/>
      <c r="I17" s="31"/>
      <c r="J17" s="31"/>
      <c r="K17" s="31"/>
      <c r="L17" s="31"/>
      <c r="M17" s="31"/>
      <c r="N17" s="49"/>
      <c r="O17" s="82"/>
    </row>
    <row r="18">
      <c r="A18" s="26">
        <v>16.0</v>
      </c>
      <c r="B18" s="31"/>
      <c r="C18" s="31"/>
      <c r="D18" s="49"/>
      <c r="E18" s="49"/>
      <c r="F18" s="31"/>
      <c r="G18" s="31"/>
      <c r="H18" s="31"/>
      <c r="I18" s="31"/>
      <c r="J18" s="31"/>
      <c r="K18" s="31"/>
      <c r="L18" s="31"/>
      <c r="M18" s="31"/>
      <c r="N18" s="49"/>
      <c r="O18" s="82"/>
    </row>
    <row r="19">
      <c r="A19" s="26">
        <v>17.0</v>
      </c>
      <c r="B19" s="31"/>
      <c r="C19" s="31"/>
      <c r="D19" s="49"/>
      <c r="E19" s="49"/>
      <c r="F19" s="31"/>
      <c r="G19" s="31"/>
      <c r="H19" s="31"/>
      <c r="I19" s="31"/>
      <c r="J19" s="31"/>
      <c r="K19" s="31"/>
      <c r="L19" s="31"/>
      <c r="M19" s="31"/>
      <c r="N19" s="49"/>
      <c r="O19" s="82"/>
    </row>
    <row r="20">
      <c r="A20" s="26">
        <v>18.0</v>
      </c>
      <c r="B20" s="31"/>
      <c r="C20" s="31"/>
      <c r="D20" s="49"/>
      <c r="E20" s="49"/>
      <c r="F20" s="31"/>
      <c r="G20" s="31"/>
      <c r="H20" s="31"/>
      <c r="I20" s="31"/>
      <c r="J20" s="31"/>
      <c r="K20" s="31"/>
      <c r="L20" s="31"/>
      <c r="M20" s="31"/>
      <c r="N20" s="49"/>
      <c r="O20" s="82"/>
    </row>
    <row r="21">
      <c r="A21" s="26">
        <v>19.0</v>
      </c>
      <c r="B21" s="31"/>
      <c r="C21" s="31"/>
      <c r="D21" s="49"/>
      <c r="E21" s="49"/>
      <c r="F21" s="31"/>
      <c r="G21" s="31"/>
      <c r="H21" s="31"/>
      <c r="I21" s="31"/>
      <c r="J21" s="31"/>
      <c r="K21" s="31"/>
      <c r="L21" s="31"/>
      <c r="M21" s="31"/>
      <c r="N21" s="49"/>
      <c r="O21" s="82"/>
    </row>
    <row r="22">
      <c r="A22" s="26">
        <v>20.0</v>
      </c>
      <c r="B22" s="31"/>
      <c r="C22" s="31"/>
      <c r="D22" s="49"/>
      <c r="E22" s="49"/>
      <c r="F22" s="31"/>
      <c r="G22" s="31"/>
      <c r="H22" s="31"/>
      <c r="I22" s="31"/>
      <c r="J22" s="31"/>
      <c r="K22" s="31"/>
      <c r="L22" s="31"/>
      <c r="M22" s="31"/>
      <c r="N22" s="49"/>
      <c r="O22" s="82"/>
    </row>
    <row r="23">
      <c r="A23" s="26">
        <v>21.0</v>
      </c>
      <c r="B23" s="31"/>
      <c r="C23" s="31"/>
      <c r="D23" s="49"/>
      <c r="E23" s="49"/>
      <c r="F23" s="31"/>
      <c r="G23" s="31"/>
      <c r="H23" s="31"/>
      <c r="I23" s="31"/>
      <c r="J23" s="31"/>
      <c r="K23" s="31"/>
      <c r="L23" s="31"/>
      <c r="M23" s="31"/>
      <c r="N23" s="49"/>
      <c r="O23" s="82"/>
    </row>
    <row r="24">
      <c r="A24" s="26">
        <v>22.0</v>
      </c>
      <c r="B24" s="31"/>
      <c r="C24" s="31"/>
      <c r="D24" s="49"/>
      <c r="E24" s="49"/>
      <c r="F24" s="31"/>
      <c r="G24" s="31"/>
      <c r="H24" s="31"/>
      <c r="I24" s="31"/>
      <c r="J24" s="31"/>
      <c r="K24" s="31"/>
      <c r="L24" s="31"/>
      <c r="M24" s="31"/>
      <c r="N24" s="49"/>
      <c r="O24" s="82"/>
    </row>
    <row r="25">
      <c r="A25" s="26">
        <v>23.0</v>
      </c>
      <c r="B25" s="31"/>
      <c r="C25" s="31"/>
      <c r="D25" s="49"/>
      <c r="E25" s="49"/>
      <c r="F25" s="31"/>
      <c r="G25" s="31"/>
      <c r="H25" s="31"/>
      <c r="I25" s="31"/>
      <c r="J25" s="31"/>
      <c r="K25" s="31"/>
      <c r="L25" s="31"/>
      <c r="M25" s="31"/>
      <c r="N25" s="49"/>
      <c r="O25" s="82"/>
    </row>
    <row r="26">
      <c r="A26" s="26">
        <v>24.0</v>
      </c>
      <c r="B26" s="31"/>
      <c r="C26" s="31"/>
      <c r="D26" s="49"/>
      <c r="E26" s="49"/>
      <c r="F26" s="31"/>
      <c r="G26" s="31"/>
      <c r="H26" s="31"/>
      <c r="I26" s="31"/>
      <c r="J26" s="31"/>
      <c r="K26" s="31"/>
      <c r="L26" s="31"/>
      <c r="M26" s="31"/>
      <c r="N26" s="49"/>
      <c r="O26" s="82"/>
    </row>
    <row r="27">
      <c r="A27" s="26">
        <v>25.0</v>
      </c>
      <c r="B27" s="31"/>
      <c r="C27" s="31"/>
      <c r="D27" s="49"/>
      <c r="E27" s="49"/>
      <c r="F27" s="31"/>
      <c r="G27" s="31"/>
      <c r="H27" s="31"/>
      <c r="I27" s="31"/>
      <c r="J27" s="31"/>
      <c r="K27" s="31"/>
      <c r="L27" s="31"/>
      <c r="M27" s="31"/>
      <c r="N27" s="49"/>
      <c r="O27" s="82"/>
    </row>
    <row r="28">
      <c r="A28" s="26">
        <v>26.0</v>
      </c>
      <c r="B28" s="31"/>
      <c r="C28" s="31"/>
      <c r="D28" s="49"/>
      <c r="E28" s="49"/>
      <c r="F28" s="31"/>
      <c r="G28" s="31"/>
      <c r="H28" s="31"/>
      <c r="I28" s="31"/>
      <c r="J28" s="31"/>
      <c r="K28" s="31"/>
      <c r="L28" s="31"/>
      <c r="M28" s="31"/>
      <c r="N28" s="49"/>
      <c r="O28" s="82"/>
    </row>
    <row r="29">
      <c r="A29" s="26">
        <v>27.0</v>
      </c>
      <c r="B29" s="31"/>
      <c r="C29" s="31"/>
      <c r="D29" s="49"/>
      <c r="E29" s="49"/>
      <c r="F29" s="31"/>
      <c r="G29" s="31"/>
      <c r="H29" s="31"/>
      <c r="I29" s="31"/>
      <c r="J29" s="31"/>
      <c r="K29" s="31"/>
      <c r="L29" s="31"/>
      <c r="M29" s="31"/>
      <c r="N29" s="49"/>
      <c r="O29" s="82"/>
    </row>
    <row r="30">
      <c r="A30" s="26">
        <v>28.0</v>
      </c>
      <c r="B30" s="31"/>
      <c r="C30" s="31"/>
      <c r="D30" s="49"/>
      <c r="E30" s="49"/>
      <c r="F30" s="31"/>
      <c r="G30" s="31"/>
      <c r="H30" s="31"/>
      <c r="I30" s="31"/>
      <c r="J30" s="31"/>
      <c r="K30" s="31"/>
      <c r="L30" s="31"/>
      <c r="M30" s="31"/>
      <c r="N30" s="49"/>
      <c r="O30" s="82"/>
    </row>
    <row r="31">
      <c r="A31" s="26">
        <v>29.0</v>
      </c>
      <c r="B31" s="31"/>
      <c r="C31" s="31"/>
      <c r="D31" s="49"/>
      <c r="E31" s="49"/>
      <c r="F31" s="31"/>
      <c r="G31" s="31"/>
      <c r="H31" s="31"/>
      <c r="I31" s="31"/>
      <c r="J31" s="31"/>
      <c r="K31" s="31"/>
      <c r="L31" s="31"/>
      <c r="M31" s="31"/>
      <c r="N31" s="49"/>
      <c r="O31" s="82"/>
    </row>
    <row r="32">
      <c r="A32" s="26">
        <v>30.0</v>
      </c>
      <c r="B32" s="31"/>
      <c r="C32" s="31"/>
      <c r="D32" s="49"/>
      <c r="E32" s="49"/>
      <c r="F32" s="31"/>
      <c r="G32" s="31"/>
      <c r="H32" s="31"/>
      <c r="I32" s="31"/>
      <c r="J32" s="31"/>
      <c r="K32" s="31"/>
      <c r="L32" s="31"/>
      <c r="M32" s="31"/>
      <c r="N32" s="49"/>
      <c r="O32" s="82"/>
    </row>
    <row r="33">
      <c r="A33" s="26">
        <v>31.0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82"/>
    </row>
    <row r="34" ht="4.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8"/>
    </row>
    <row r="35">
      <c r="A35" s="89" t="s">
        <v>151</v>
      </c>
      <c r="B35" s="90">
        <f t="shared" ref="B35:E35" si="17">SUM(B2:B33)</f>
        <v>105485832</v>
      </c>
      <c r="C35" s="90">
        <f t="shared" si="17"/>
        <v>88710186</v>
      </c>
      <c r="D35" s="90">
        <f t="shared" si="17"/>
        <v>1220</v>
      </c>
      <c r="E35" s="90">
        <f t="shared" si="17"/>
        <v>14193629.76</v>
      </c>
      <c r="F35" s="90"/>
      <c r="G35" s="90"/>
      <c r="H35" s="90">
        <f t="shared" ref="H35:M35" si="18">SUM(H2:H33)</f>
        <v>33158612</v>
      </c>
      <c r="I35" s="90">
        <f t="shared" si="18"/>
        <v>7975045.721</v>
      </c>
      <c r="J35" s="90">
        <f t="shared" si="18"/>
        <v>7983916.74</v>
      </c>
      <c r="K35" s="90">
        <f t="shared" si="18"/>
        <v>14921053.29</v>
      </c>
      <c r="L35" s="90">
        <f t="shared" si="18"/>
        <v>79757257.51</v>
      </c>
      <c r="M35" s="90">
        <f t="shared" si="18"/>
        <v>8952928.493</v>
      </c>
      <c r="N35" s="91">
        <f>M35/L35</f>
        <v>0.1122522109</v>
      </c>
      <c r="O35" s="92"/>
    </row>
    <row r="36" ht="6.0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4"/>
    </row>
    <row r="37">
      <c r="O37" s="95"/>
    </row>
    <row r="38">
      <c r="O38" s="95"/>
    </row>
    <row r="39">
      <c r="O39" s="96"/>
    </row>
    <row r="40">
      <c r="O40" s="96"/>
    </row>
    <row r="41">
      <c r="O41" s="96"/>
    </row>
    <row r="42">
      <c r="O42" s="96"/>
    </row>
    <row r="43">
      <c r="O43" s="96"/>
    </row>
    <row r="44">
      <c r="O44" s="96"/>
    </row>
    <row r="45">
      <c r="O45" s="96"/>
    </row>
    <row r="46">
      <c r="O46" s="96"/>
    </row>
    <row r="47">
      <c r="O47" s="96"/>
    </row>
    <row r="48">
      <c r="O48" s="96"/>
    </row>
    <row r="49">
      <c r="O49" s="96"/>
    </row>
    <row r="50">
      <c r="O50" s="96"/>
    </row>
    <row r="51">
      <c r="O51" s="96"/>
    </row>
    <row r="52">
      <c r="O52" s="96"/>
    </row>
    <row r="53">
      <c r="O53" s="96"/>
    </row>
    <row r="54">
      <c r="O54" s="96"/>
    </row>
  </sheetData>
  <mergeCells count="1">
    <mergeCell ref="A1:C1"/>
  </mergeCells>
  <drawing r:id="rId1"/>
</worksheet>
</file>